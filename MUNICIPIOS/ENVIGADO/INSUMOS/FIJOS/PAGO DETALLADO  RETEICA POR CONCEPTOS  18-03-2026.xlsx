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BS\ESCRITORIO 2026\MUNICIPIOS\ENVIGADO\RETEICA\"/>
    </mc:Choice>
  </mc:AlternateContent>
  <xr:revisionPtr revIDLastSave="0" documentId="8_{B0AF511B-94C4-4028-B185-6FECA1D3FE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cabezado" sheetId="2" r:id="rId1"/>
    <sheet name="detalles" sheetId="3" r:id="rId2"/>
  </sheets>
  <definedNames>
    <definedName name="_xlnm._FilterDatabase" localSheetId="1" hidden="1">detalles!$A$1:$F$69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2" i="2"/>
  <c r="H2" i="2" s="1"/>
</calcChain>
</file>

<file path=xl/sharedStrings.xml><?xml version="1.0" encoding="utf-8"?>
<sst xmlns="http://schemas.openxmlformats.org/spreadsheetml/2006/main" count="569" uniqueCount="227">
  <si>
    <t>Consecutivo 1</t>
  </si>
  <si>
    <t>Cédula/NIT propietario</t>
  </si>
  <si>
    <t>Nombre productor</t>
  </si>
  <si>
    <t>1.1 Año</t>
  </si>
  <si>
    <t>1. Periodo declarado</t>
  </si>
  <si>
    <t>23. Total a pagar ($ COP)</t>
  </si>
  <si>
    <t>Estado Pago</t>
  </si>
  <si>
    <t>Fecha de presentación</t>
  </si>
  <si>
    <t>Fecha Pago</t>
  </si>
  <si>
    <t>GENETICA BIOS SAS</t>
  </si>
  <si>
    <t>MMI LATAM SAS</t>
  </si>
  <si>
    <t xml:space="preserve">PROCOPALSA </t>
  </si>
  <si>
    <t>MIRO SEGURIDAD LTDA</t>
  </si>
  <si>
    <t>COMERCIALIZADORA INSUASEO SAS</t>
  </si>
  <si>
    <t>NEXUS GESTION INTEGRAL SAS</t>
  </si>
  <si>
    <t>NATUBIOTICS CORP SAS</t>
  </si>
  <si>
    <t>PERYSA S.A.S</t>
  </si>
  <si>
    <t>TRANSPORTES HUMADEA SAS</t>
  </si>
  <si>
    <t xml:space="preserve">DANIEL ALEJANDRO  QUINTERO OSSA </t>
  </si>
  <si>
    <t>BKCOL SAS</t>
  </si>
  <si>
    <t>INDUSTRIAS ALIMENTICIAS JARAMILLO VELEZ SAS</t>
  </si>
  <si>
    <t>CENCOSUD COLOMBIA SA</t>
  </si>
  <si>
    <t>BH SALUD SAS</t>
  </si>
  <si>
    <t>DIVITEX S.A.S</t>
  </si>
  <si>
    <t>COMERCIALIZADORA INDUCASCOS S.A</t>
  </si>
  <si>
    <t>INMUNIZADORA RIONEGRO SA</t>
  </si>
  <si>
    <t>IDEANDO NEGOCIOS SAS</t>
  </si>
  <si>
    <t>COLTANQUES SAS</t>
  </si>
  <si>
    <t>INDUSTRIAS DE ALUMINIO ARQUITECTONICO Y VENTANERIA S.A.S</t>
  </si>
  <si>
    <t>INVERSIONES FEDESQUINA SAS</t>
  </si>
  <si>
    <t>INVERSIONES MERCAVENTAS SAS</t>
  </si>
  <si>
    <t>CAJA COLOMBIANA DE SUBSIDIO FAMILIAR COLSUBSIDIO</t>
  </si>
  <si>
    <t>B60  SHIRLEY ZULUAGA SALAZAR S.A.S</t>
  </si>
  <si>
    <t>MARROCAR SAS</t>
  </si>
  <si>
    <t>ADQUIRIR S.A.S</t>
  </si>
  <si>
    <t>BANCO POPULAR S.A</t>
  </si>
  <si>
    <t>escuela de audio y sonido de colombia sas</t>
  </si>
  <si>
    <t xml:space="preserve">DEMCO INGENIERIA </t>
  </si>
  <si>
    <t>CEM ELECTRONIX S.A.S</t>
  </si>
  <si>
    <t>COSMO EDUCATION SAS</t>
  </si>
  <si>
    <t>soluciones redy sas</t>
  </si>
  <si>
    <t>NUTRISER COLOMBIA SAS</t>
  </si>
  <si>
    <t>OPL CARGA SAS</t>
  </si>
  <si>
    <t>COOPERTIVA FINANCIERA COTRAFA</t>
  </si>
  <si>
    <t>FRIMAC S.A.</t>
  </si>
  <si>
    <t>Crearcimientos Propiedad Raíz SAS</t>
  </si>
  <si>
    <t>TEMPLAMOS SAS</t>
  </si>
  <si>
    <t>FRANTON SAS</t>
  </si>
  <si>
    <t>CMX S.A.S</t>
  </si>
  <si>
    <t>NALSANI SAS</t>
  </si>
  <si>
    <t>HMV INGENIEROS LTDA</t>
  </si>
  <si>
    <t>COLGAS S.A.E.S.P</t>
  </si>
  <si>
    <t>IMPOMUNDIAL TRADING S.A.S.</t>
  </si>
  <si>
    <t>ICOEXPANDIDOS S.A.S.</t>
  </si>
  <si>
    <t>MAPFRE SEGUROS GENERALES DE COLOMBIA SA</t>
  </si>
  <si>
    <t>INVERSIONES VAQUITA EXPRESS SAS</t>
  </si>
  <si>
    <t>EFICACIA SAS</t>
  </si>
  <si>
    <t>DENTOMAT SAS</t>
  </si>
  <si>
    <t>INTERWORLD FREIGHT SAS</t>
  </si>
  <si>
    <t>OLIVE COUNTRY SUITES PROPIEDAD HORIZONTAL</t>
  </si>
  <si>
    <t>AGENCIA DE AUTOMOVILES S.A. Ó AGENCIAUTO</t>
  </si>
  <si>
    <t xml:space="preserve">SMYM LOGISTICA SAS </t>
  </si>
  <si>
    <t>CONSTRUCTORA CONARTE SA</t>
  </si>
  <si>
    <t>Inversiones en Recreación Deporte y Salud SA</t>
  </si>
  <si>
    <t>COMERCIALIZADORA SAS</t>
  </si>
  <si>
    <t>BANCO COMERCIAL AV VILLAS S.A</t>
  </si>
  <si>
    <t>Estudio de Moda SAS</t>
  </si>
  <si>
    <t>FIDEICOMISOS SOCIEDAD FIDUCIARIA DE OCCIDENTE SA</t>
  </si>
  <si>
    <t>COOPERATIVA BELEN AHORRO Y CREDITO</t>
  </si>
  <si>
    <t>ANDINA DE CONSTRUCCIONES Y ASOCIADOS SAS</t>
  </si>
  <si>
    <t>COMPAÑIA DE DISTRIBUCIÓN Y TRANSPORTE S.A.S BIC</t>
  </si>
  <si>
    <t>ALZATE NOREÑA SAS</t>
  </si>
  <si>
    <t>Conjunto Le Mont Comercio PH</t>
  </si>
  <si>
    <t>QMC TELECOM COLOMBIA SAS</t>
  </si>
  <si>
    <t>COLOMBIA TELECOMUNICACIONES SA ESP BIC</t>
  </si>
  <si>
    <t xml:space="preserve">UNION ISRAELITA DE BENEFICENCIA </t>
  </si>
  <si>
    <t>INVERSIONES JUANFE S.A.S</t>
  </si>
  <si>
    <t>Bimestre 01 (ene-feb)</t>
  </si>
  <si>
    <t>Bimestre 06 (nov-dic)</t>
  </si>
  <si>
    <t>✓ Pago realizado</t>
  </si>
  <si>
    <t>2026-03-16 14:42:12.571</t>
  </si>
  <si>
    <t>2026-03-16 17:27:50.037</t>
  </si>
  <si>
    <t>2026-03-17 08:13:47.755</t>
  </si>
  <si>
    <t>2026-03-16 19:55:32.074</t>
  </si>
  <si>
    <t>2026-03-17 09:27:15.920</t>
  </si>
  <si>
    <t>2026-03-17 09:34:00.420</t>
  </si>
  <si>
    <t>2026-03-17 09:37:32.421</t>
  </si>
  <si>
    <t>2026-03-17 09:38:07.719</t>
  </si>
  <si>
    <t>2026-03-16 18:22:14.584</t>
  </si>
  <si>
    <t>2026-03-17 09:53:14.411</t>
  </si>
  <si>
    <t>2026-03-17 10:31:06.551</t>
  </si>
  <si>
    <t>2026-03-17 08:52:13.744</t>
  </si>
  <si>
    <t>2026-03-17 09:29:49.161</t>
  </si>
  <si>
    <t>2026-03-17 09:48:04.207</t>
  </si>
  <si>
    <t>2026-03-17 09:57:41.104</t>
  </si>
  <si>
    <t>2026-03-17 09:58:15.133</t>
  </si>
  <si>
    <t>2026-03-17 10:35:59.382</t>
  </si>
  <si>
    <t>2026-03-16 21:43:40.728</t>
  </si>
  <si>
    <t>2026-03-17 08:17:01.487</t>
  </si>
  <si>
    <t>2026-03-17 10:49:50.539</t>
  </si>
  <si>
    <t>2026-03-17 10:57:32.182</t>
  </si>
  <si>
    <t>2026-03-16 10:55:29.603</t>
  </si>
  <si>
    <t>2026-03-17 09:36:20.210</t>
  </si>
  <si>
    <t>2026-03-17 11:03:56.255</t>
  </si>
  <si>
    <t>2026-03-16 16:46:02.601</t>
  </si>
  <si>
    <t>2026-03-17 11:55:31.781</t>
  </si>
  <si>
    <t>2026-03-16 12:41:15.662</t>
  </si>
  <si>
    <t>2026-03-17 12:03:36.163</t>
  </si>
  <si>
    <t>2026-03-17 13:02:20.501</t>
  </si>
  <si>
    <t>2026-03-16 18:44:10.281</t>
  </si>
  <si>
    <t>2026-03-16 14:52:30.116</t>
  </si>
  <si>
    <t>2026-03-16 21:59:00.975</t>
  </si>
  <si>
    <t>2026-03-17 08:57:28.156</t>
  </si>
  <si>
    <t>2026-03-17 09:42:51.270</t>
  </si>
  <si>
    <t>2026-03-17 11:35:00.512</t>
  </si>
  <si>
    <t>2026-03-17 12:13:20.411</t>
  </si>
  <si>
    <t>2026-03-17 14:32:54.011</t>
  </si>
  <si>
    <t>2026-03-17 14:17:12.953</t>
  </si>
  <si>
    <t>2026-03-17 14:17:21.262</t>
  </si>
  <si>
    <t>2026-03-17 10:51:37.324</t>
  </si>
  <si>
    <t>2026-03-17 11:47:26.586</t>
  </si>
  <si>
    <t>2026-03-17 14:54:40.090</t>
  </si>
  <si>
    <t>2026-03-17 14:55:24.017</t>
  </si>
  <si>
    <t>2026-03-17 14:28:35.154</t>
  </si>
  <si>
    <t>2026-03-17 15:26:34.607</t>
  </si>
  <si>
    <t>2026-03-17 15:30:45.035</t>
  </si>
  <si>
    <t>2026-03-17 14:31:34.703</t>
  </si>
  <si>
    <t>2026-03-17 10:19:29.599</t>
  </si>
  <si>
    <t>2026-03-17 15:36:54.928</t>
  </si>
  <si>
    <t>2026-03-17 09:24:18.026</t>
  </si>
  <si>
    <t>2026-03-17 13:11:13.017</t>
  </si>
  <si>
    <t>2026-03-17 15:45:41.993</t>
  </si>
  <si>
    <t>2026-03-17 15:49:51.654</t>
  </si>
  <si>
    <t>2026-03-17 15:49:57.647</t>
  </si>
  <si>
    <t>2026-03-17 16:06:25.821</t>
  </si>
  <si>
    <t>2026-03-17 16:31:06.155</t>
  </si>
  <si>
    <t>2026-03-17 15:36:16.013</t>
  </si>
  <si>
    <t>2026-03-17 15:54:34.234</t>
  </si>
  <si>
    <t>2026-03-17 16:40:29.475</t>
  </si>
  <si>
    <t>2026-03-17 08:35:23.644</t>
  </si>
  <si>
    <t>2026-03-17 17:11:25.302</t>
  </si>
  <si>
    <t>2026-03-17 14:23:47.075</t>
  </si>
  <si>
    <t>2026-03-17 13:59:10.323</t>
  </si>
  <si>
    <t>2026-03-17 16:03:24.319</t>
  </si>
  <si>
    <t>2026-03-17 16:05:01.296</t>
  </si>
  <si>
    <t>2026-03-17 17:39:35.563</t>
  </si>
  <si>
    <t>2026-03-17 14:58:49.523</t>
  </si>
  <si>
    <t>2026-03-16 21:52:34.081</t>
  </si>
  <si>
    <t>2026-03-17 08:41:42.605</t>
  </si>
  <si>
    <t>2026-03-17 08:01:55.417</t>
  </si>
  <si>
    <t>2026-03-17 08:18:07.808</t>
  </si>
  <si>
    <t>2026-03-17 09:14:06.977</t>
  </si>
  <si>
    <t>2026-03-17 09:28:47.044</t>
  </si>
  <si>
    <t>2026-03-17 09:40:09.517</t>
  </si>
  <si>
    <t>2026-03-17 09:41:40.037</t>
  </si>
  <si>
    <t>2026-03-17 09:44:18.516</t>
  </si>
  <si>
    <t>2026-03-17 10:41:53.224</t>
  </si>
  <si>
    <t>2026-03-17 10:26:53.307</t>
  </si>
  <si>
    <t>2026-03-17 10:47:27.953</t>
  </si>
  <si>
    <t>2026-03-17 10:31:53.459</t>
  </si>
  <si>
    <t>2026-03-17 10:12:05.450</t>
  </si>
  <si>
    <t>2026-03-17 10:42:08.808</t>
  </si>
  <si>
    <t>2026-03-17 10:11:48.709</t>
  </si>
  <si>
    <t>2026-03-17 10:12:15.066</t>
  </si>
  <si>
    <t>2026-03-17 10:45:04.758</t>
  </si>
  <si>
    <t>2026-03-17 10:48:07.224</t>
  </si>
  <si>
    <t>2026-03-17 11:12:05.844</t>
  </si>
  <si>
    <t>2026-03-17 11:42:13.298</t>
  </si>
  <si>
    <t>2026-03-17 11:02:35.035</t>
  </si>
  <si>
    <t>2026-03-17 11:15:03.792</t>
  </si>
  <si>
    <t>2026-03-17 11:56:58.770</t>
  </si>
  <si>
    <t>2026-03-17 12:00:03.792</t>
  </si>
  <si>
    <t>2026-03-17 11:56:56.116</t>
  </si>
  <si>
    <t>2026-03-17 12:13:05.093</t>
  </si>
  <si>
    <t>2026-03-17 12:27:43.470</t>
  </si>
  <si>
    <t>2026-03-17 13:27:51.305</t>
  </si>
  <si>
    <t>2026-03-17 13:12:27.148</t>
  </si>
  <si>
    <t>2026-03-17 13:27:45.614</t>
  </si>
  <si>
    <t>2026-03-17 14:28:03.470</t>
  </si>
  <si>
    <t>2026-03-17 14:15:40.567</t>
  </si>
  <si>
    <t>2026-03-17 14:28:06.808</t>
  </si>
  <si>
    <t>2026-03-17 14:41:50.761</t>
  </si>
  <si>
    <t>2026-03-17 14:13:39.814</t>
  </si>
  <si>
    <t>2026-03-17 14:41:53.540</t>
  </si>
  <si>
    <t>2026-03-17 14:41:55.608</t>
  </si>
  <si>
    <t>2026-03-17 14:28:11.789</t>
  </si>
  <si>
    <t>2026-03-17 14:28:12.032</t>
  </si>
  <si>
    <t>2026-03-17 14:56:52.627</t>
  </si>
  <si>
    <t>2026-03-17 15:26:51.879</t>
  </si>
  <si>
    <t>2026-03-17 15:12:12.127</t>
  </si>
  <si>
    <t>2026-03-17 15:12:12.335</t>
  </si>
  <si>
    <t>2026-03-17 15:26:54.042</t>
  </si>
  <si>
    <t>2026-03-17 15:33:08.068</t>
  </si>
  <si>
    <t>2026-03-17 15:41:56.605</t>
  </si>
  <si>
    <t>2026-03-17 15:32:57.530</t>
  </si>
  <si>
    <t>2026-03-17 15:41:52.228</t>
  </si>
  <si>
    <t>2026-03-17 15:39:26.217</t>
  </si>
  <si>
    <t>2026-03-17 15:58:47.093</t>
  </si>
  <si>
    <t>2026-03-17 15:58:50.355</t>
  </si>
  <si>
    <t>2026-03-17 15:58:53.207</t>
  </si>
  <si>
    <t>2026-03-17 15:55:59.869</t>
  </si>
  <si>
    <t>2026-03-17 15:57:05.961</t>
  </si>
  <si>
    <t>2026-03-17 16:29:34.041</t>
  </si>
  <si>
    <t>2026-03-17 16:42:05.829</t>
  </si>
  <si>
    <t>2026-03-17 16:57:06.708</t>
  </si>
  <si>
    <t>2026-03-17 17:18:08.053</t>
  </si>
  <si>
    <t>2026-03-17 17:12:40.092</t>
  </si>
  <si>
    <t>2026-03-17 16:57:00.993</t>
  </si>
  <si>
    <t>2026-03-17 17:27:13.184</t>
  </si>
  <si>
    <t>2026-03-17 17:42:07.823</t>
  </si>
  <si>
    <t>2026-03-17 18:42:16.019</t>
  </si>
  <si>
    <t>2026-03-17 18:17:57.276</t>
  </si>
  <si>
    <t>2026-03-17 18:45:05.366</t>
  </si>
  <si>
    <t>2026-03-17 17:58:05.629</t>
  </si>
  <si>
    <t>2026-03-17 19:13:53.812</t>
  </si>
  <si>
    <t>2026-03-17 20:13:41.926</t>
  </si>
  <si>
    <t>Consecutivo</t>
  </si>
  <si>
    <t>CODIGO</t>
  </si>
  <si>
    <t xml:space="preserve">DESCRIPCION </t>
  </si>
  <si>
    <t>VALOR</t>
  </si>
  <si>
    <t>7377 </t>
  </si>
  <si>
    <t>Retención por industria y comercio</t>
  </si>
  <si>
    <t>7378 </t>
  </si>
  <si>
    <t>Sanción RETEICA</t>
  </si>
  <si>
    <t>7379 </t>
  </si>
  <si>
    <t>interes de mora por RETEICA</t>
  </si>
  <si>
    <t>RETENCION PRACTICADA EN EXCESO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</si>
</sst>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8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0" fillId="3" borderId="0" xfId="0" applyFill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3" fillId="2" borderId="1" xfId="10" applyFill="1" applyBorder="1" applyAlignment="1">
      <alignment horizontal="center" vertical="center"/>
    </xf>
  </cellXfs>
  <cellStyles count="32">
    <cellStyle name="Moneda" xfId="1" builtinId="4"/>
    <cellStyle name="Moneda 10" xfId="25" xr:uid="{2DE1D3C9-D2A5-426D-93F5-7A30A753864E}"/>
    <cellStyle name="Moneda 11" xfId="24" xr:uid="{CDA25D43-59CF-4EA6-9D05-B32D9A27801B}"/>
    <cellStyle name="Moneda 12" xfId="23" xr:uid="{F862BC11-9B2E-469E-A589-03E2F5DA186B}"/>
    <cellStyle name="Moneda 13" xfId="22" xr:uid="{995AA2C9-EE8F-4FD0-9DAC-8B5CFC39FFA2}"/>
    <cellStyle name="Moneda 14" xfId="21" xr:uid="{9FC9A2DE-CD12-471F-B2C7-61275B327DCC}"/>
    <cellStyle name="Moneda 15" xfId="20" xr:uid="{1AA61704-A7F8-4604-BB3D-9A5891C6F62D}"/>
    <cellStyle name="Moneda 16" xfId="19" xr:uid="{93BC1EB6-73B1-44C2-8478-C8D4F342FA83}"/>
    <cellStyle name="Moneda 17" xfId="18" xr:uid="{13A047A2-91E6-4EA5-B67D-A16B8AF82535}"/>
    <cellStyle name="Moneda 18" xfId="17" xr:uid="{83D6559A-87BB-476A-AF85-C0C6CEDED0AF}"/>
    <cellStyle name="Moneda 19" xfId="16" xr:uid="{1E292337-488F-4CF2-A7C6-A4403E9ED877}"/>
    <cellStyle name="Moneda 2" xfId="9" xr:uid="{B2822A7C-1DA6-4B71-A1FF-2CF6B163ACE5}"/>
    <cellStyle name="Moneda 20" xfId="15" xr:uid="{57968412-A31C-4813-84BD-945DC3B94DA0}"/>
    <cellStyle name="Moneda 21" xfId="14" xr:uid="{862D0C15-8F7B-435F-B7D0-1DC7EA119BB4}"/>
    <cellStyle name="Moneda 22" xfId="13" xr:uid="{D2630DA8-BB15-484F-8126-A2924F41DDE6}"/>
    <cellStyle name="Moneda 23" xfId="12" xr:uid="{CA094969-72F7-459A-A8A2-400EFC2053CB}"/>
    <cellStyle name="Moneda 24" xfId="11" xr:uid="{85A0EA5A-CC86-49D5-866C-F1125A8FEF77}"/>
    <cellStyle name="Moneda 25" xfId="7" xr:uid="{98FC254D-5808-47F1-BFA1-368C156ABED7}"/>
    <cellStyle name="Moneda 26" xfId="6" xr:uid="{FAF8004D-82E0-42D1-8759-525209F2D0A2}"/>
    <cellStyle name="Moneda 27" xfId="5" xr:uid="{03D93340-A3E9-4C2A-B0B7-6D0D9969D0F4}"/>
    <cellStyle name="Moneda 28" xfId="4" xr:uid="{F326171A-501E-4F34-B8E6-DB15FD6219D7}"/>
    <cellStyle name="Moneda 29" xfId="3" xr:uid="{D82A9DC2-C7A1-4C1F-A800-54CAE99F46FF}"/>
    <cellStyle name="Moneda 3" xfId="8" xr:uid="{7E3A5911-A53B-4A28-AD17-9558E7CAA4F8}"/>
    <cellStyle name="Moneda 30" xfId="2" xr:uid="{D62D3102-CA50-4A68-A5CF-00973447D2D4}"/>
    <cellStyle name="Moneda 4" xfId="29" xr:uid="{887D9E30-0F80-4943-BC94-FE7E6DF7A516}"/>
    <cellStyle name="Moneda 5" xfId="30" xr:uid="{6E2EAA6D-3263-4A5D-AA16-AAD57007483E}"/>
    <cellStyle name="Moneda 6" xfId="31" xr:uid="{2CD83918-85B1-48D2-8A56-21A2B3C20420}"/>
    <cellStyle name="Moneda 7" xfId="28" xr:uid="{34EDFFEC-CEDA-4CE2-BA46-CF94B4C3D07A}"/>
    <cellStyle name="Moneda 8" xfId="27" xr:uid="{D2E13E08-5363-49A9-B439-81EA7D6D8FA5}"/>
    <cellStyle name="Moneda 9" xfId="26" xr:uid="{B198266A-A2FE-43C9-B70C-F534D5734CFB}"/>
    <cellStyle name="Normal" xfId="0" builtinId="0"/>
    <cellStyle name="Normal 2" xfId="10" xr:uid="{6A347C84-D3E9-40D5-8E19-A296F2A4BB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6C2A-89EC-4CE2-B163-E93E30BBC8EC}">
  <dimension ref="A1:K69"/>
  <sheetViews>
    <sheetView topLeftCell="A28" workbookViewId="0">
      <selection activeCell="H48" activeCellId="1" sqref="A48:C48 H48"/>
    </sheetView>
  </sheetViews>
  <sheetFormatPr baseColWidth="10" defaultRowHeight="15" x14ac:dyDescent="0.25"/>
  <cols>
    <col min="6" max="6" width="23.85546875" style="3" bestFit="1" customWidth="1"/>
    <col min="7" max="8" width="23.85546875" style="3" customWidth="1"/>
    <col min="9" max="9" width="15.85546875" bestFit="1" customWidth="1"/>
    <col min="10" max="10" width="2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1" t="s">
        <v>6</v>
      </c>
      <c r="J1" s="1" t="s">
        <v>7</v>
      </c>
      <c r="K1" s="1" t="s">
        <v>8</v>
      </c>
    </row>
    <row r="2" spans="1:11" x14ac:dyDescent="0.25">
      <c r="A2">
        <v>24777</v>
      </c>
      <c r="B2">
        <v>800204226</v>
      </c>
      <c r="C2" t="s">
        <v>9</v>
      </c>
      <c r="D2">
        <v>2026</v>
      </c>
      <c r="E2" t="s">
        <v>77</v>
      </c>
      <c r="F2" s="3">
        <v>90000</v>
      </c>
      <c r="G2" s="3">
        <f>SUMIFS(detalles!F:F,detalles!A:A,A2)</f>
        <v>90000</v>
      </c>
      <c r="H2" s="3">
        <f>F2-G2</f>
        <v>0</v>
      </c>
      <c r="I2" t="s">
        <v>79</v>
      </c>
      <c r="J2" t="s">
        <v>80</v>
      </c>
      <c r="K2" t="s">
        <v>148</v>
      </c>
    </row>
    <row r="3" spans="1:11" x14ac:dyDescent="0.25">
      <c r="A3">
        <v>24833</v>
      </c>
      <c r="B3">
        <v>901326859</v>
      </c>
      <c r="C3" t="s">
        <v>10</v>
      </c>
      <c r="D3">
        <v>2026</v>
      </c>
      <c r="E3" t="s">
        <v>77</v>
      </c>
      <c r="F3" s="3">
        <v>43000</v>
      </c>
      <c r="G3" s="3">
        <f>SUMIFS(detalles!F:F,detalles!A:A,A3)</f>
        <v>43000</v>
      </c>
      <c r="H3" s="3">
        <f t="shared" ref="H3:H66" si="0">F3-G3</f>
        <v>0</v>
      </c>
      <c r="I3" t="s">
        <v>79</v>
      </c>
      <c r="J3" t="s">
        <v>81</v>
      </c>
      <c r="K3" t="s">
        <v>149</v>
      </c>
    </row>
    <row r="4" spans="1:11" x14ac:dyDescent="0.25">
      <c r="A4">
        <v>24851</v>
      </c>
      <c r="B4">
        <v>890906388</v>
      </c>
      <c r="C4" t="s">
        <v>11</v>
      </c>
      <c r="D4">
        <v>2026</v>
      </c>
      <c r="E4" t="s">
        <v>77</v>
      </c>
      <c r="F4" s="3">
        <v>1624000</v>
      </c>
      <c r="G4" s="3">
        <f>SUMIFS(detalles!F:F,detalles!A:A,A4)</f>
        <v>1624000</v>
      </c>
      <c r="H4" s="3">
        <f t="shared" si="0"/>
        <v>0</v>
      </c>
      <c r="I4" t="s">
        <v>79</v>
      </c>
      <c r="J4" t="s">
        <v>82</v>
      </c>
      <c r="K4" t="s">
        <v>150</v>
      </c>
    </row>
    <row r="5" spans="1:11" x14ac:dyDescent="0.25">
      <c r="A5">
        <v>24844</v>
      </c>
      <c r="B5">
        <v>890932539</v>
      </c>
      <c r="C5" t="s">
        <v>12</v>
      </c>
      <c r="D5">
        <v>2025</v>
      </c>
      <c r="E5" t="s">
        <v>77</v>
      </c>
      <c r="F5" s="3">
        <v>1144000</v>
      </c>
      <c r="G5" s="3">
        <f>SUMIFS(detalles!F:F,detalles!A:A,A5)</f>
        <v>1144000</v>
      </c>
      <c r="H5" s="3">
        <f t="shared" si="0"/>
        <v>0</v>
      </c>
      <c r="I5" t="s">
        <v>79</v>
      </c>
      <c r="J5" t="s">
        <v>83</v>
      </c>
      <c r="K5" t="s">
        <v>151</v>
      </c>
    </row>
    <row r="6" spans="1:11" x14ac:dyDescent="0.25">
      <c r="A6">
        <v>24862</v>
      </c>
      <c r="B6">
        <v>900557608</v>
      </c>
      <c r="C6" t="s">
        <v>13</v>
      </c>
      <c r="D6">
        <v>2026</v>
      </c>
      <c r="E6" t="s">
        <v>77</v>
      </c>
      <c r="F6" s="3">
        <v>7400</v>
      </c>
      <c r="G6" s="3">
        <f>SUMIFS(detalles!F:F,detalles!A:A,A6)</f>
        <v>7400</v>
      </c>
      <c r="H6" s="3">
        <f t="shared" si="0"/>
        <v>0</v>
      </c>
      <c r="I6" t="s">
        <v>79</v>
      </c>
      <c r="J6" t="s">
        <v>84</v>
      </c>
      <c r="K6" t="s">
        <v>152</v>
      </c>
    </row>
    <row r="7" spans="1:11" x14ac:dyDescent="0.25">
      <c r="A7">
        <v>24864</v>
      </c>
      <c r="B7">
        <v>901370476</v>
      </c>
      <c r="C7" t="s">
        <v>14</v>
      </c>
      <c r="D7">
        <v>2026</v>
      </c>
      <c r="E7" t="s">
        <v>77</v>
      </c>
      <c r="F7" s="3">
        <v>2424071</v>
      </c>
      <c r="G7" s="3">
        <f>SUMIFS(detalles!F:F,detalles!A:A,A7)</f>
        <v>2424071</v>
      </c>
      <c r="H7" s="3">
        <f t="shared" si="0"/>
        <v>0</v>
      </c>
      <c r="I7" t="s">
        <v>79</v>
      </c>
      <c r="J7" t="s">
        <v>85</v>
      </c>
      <c r="K7" t="s">
        <v>153</v>
      </c>
    </row>
    <row r="8" spans="1:11" x14ac:dyDescent="0.25">
      <c r="A8">
        <v>24867</v>
      </c>
      <c r="B8">
        <v>900963711</v>
      </c>
      <c r="C8" t="s">
        <v>15</v>
      </c>
      <c r="D8">
        <v>2025</v>
      </c>
      <c r="E8" t="s">
        <v>78</v>
      </c>
      <c r="F8" s="3">
        <v>262000</v>
      </c>
      <c r="G8" s="3">
        <f>SUMIFS(detalles!F:F,detalles!A:A,A8)</f>
        <v>262000</v>
      </c>
      <c r="H8" s="3">
        <f t="shared" si="0"/>
        <v>0</v>
      </c>
      <c r="I8" t="s">
        <v>79</v>
      </c>
      <c r="J8" t="s">
        <v>86</v>
      </c>
      <c r="K8" t="s">
        <v>154</v>
      </c>
    </row>
    <row r="9" spans="1:11" x14ac:dyDescent="0.25">
      <c r="A9">
        <v>24869</v>
      </c>
      <c r="B9">
        <v>811007506</v>
      </c>
      <c r="C9" t="s">
        <v>16</v>
      </c>
      <c r="D9">
        <v>2026</v>
      </c>
      <c r="E9" t="s">
        <v>77</v>
      </c>
      <c r="F9" s="3">
        <v>609000</v>
      </c>
      <c r="G9" s="3">
        <f>SUMIFS(detalles!F:F,detalles!A:A,A9)</f>
        <v>609000</v>
      </c>
      <c r="H9" s="3">
        <f t="shared" si="0"/>
        <v>0</v>
      </c>
      <c r="I9" t="s">
        <v>79</v>
      </c>
      <c r="J9" t="s">
        <v>87</v>
      </c>
      <c r="K9" t="s">
        <v>155</v>
      </c>
    </row>
    <row r="10" spans="1:11" x14ac:dyDescent="0.25">
      <c r="A10">
        <v>24837</v>
      </c>
      <c r="B10">
        <v>830096376</v>
      </c>
      <c r="C10" t="s">
        <v>17</v>
      </c>
      <c r="D10">
        <v>2026</v>
      </c>
      <c r="E10" t="s">
        <v>77</v>
      </c>
      <c r="F10" s="3">
        <v>22000</v>
      </c>
      <c r="G10" s="3">
        <f>SUMIFS(detalles!F:F,detalles!A:A,A10)</f>
        <v>22000</v>
      </c>
      <c r="H10" s="3">
        <f t="shared" si="0"/>
        <v>0</v>
      </c>
      <c r="I10" t="s">
        <v>79</v>
      </c>
      <c r="J10" t="s">
        <v>88</v>
      </c>
      <c r="K10" t="s">
        <v>156</v>
      </c>
    </row>
    <row r="11" spans="1:11" x14ac:dyDescent="0.25">
      <c r="A11">
        <v>24876</v>
      </c>
      <c r="B11">
        <v>9005849763</v>
      </c>
      <c r="C11" t="s">
        <v>18</v>
      </c>
      <c r="D11">
        <v>2026</v>
      </c>
      <c r="E11" t="s">
        <v>77</v>
      </c>
      <c r="F11" s="3">
        <v>47000</v>
      </c>
      <c r="G11" s="3">
        <f>SUMIFS(detalles!F:F,detalles!A:A,A11)</f>
        <v>47000</v>
      </c>
      <c r="H11" s="3">
        <f t="shared" si="0"/>
        <v>0</v>
      </c>
      <c r="I11" t="s">
        <v>79</v>
      </c>
      <c r="J11" t="s">
        <v>89</v>
      </c>
      <c r="K11" t="s">
        <v>157</v>
      </c>
    </row>
    <row r="12" spans="1:11" x14ac:dyDescent="0.25">
      <c r="A12">
        <v>24887</v>
      </c>
      <c r="B12">
        <v>901095278</v>
      </c>
      <c r="C12" t="s">
        <v>19</v>
      </c>
      <c r="D12">
        <v>2026</v>
      </c>
      <c r="E12" t="s">
        <v>77</v>
      </c>
      <c r="F12" s="3">
        <v>31000</v>
      </c>
      <c r="G12" s="3">
        <f>SUMIFS(detalles!F:F,detalles!A:A,A12)</f>
        <v>31000</v>
      </c>
      <c r="H12" s="3">
        <f t="shared" si="0"/>
        <v>0</v>
      </c>
      <c r="I12" t="s">
        <v>79</v>
      </c>
      <c r="J12" t="s">
        <v>90</v>
      </c>
      <c r="K12" t="s">
        <v>158</v>
      </c>
    </row>
    <row r="13" spans="1:11" x14ac:dyDescent="0.25">
      <c r="A13">
        <v>24858</v>
      </c>
      <c r="B13">
        <v>900239116</v>
      </c>
      <c r="C13" t="s">
        <v>20</v>
      </c>
      <c r="D13">
        <v>2026</v>
      </c>
      <c r="E13" t="s">
        <v>77</v>
      </c>
      <c r="F13" s="3">
        <v>945646</v>
      </c>
      <c r="G13" s="3">
        <f>SUMIFS(detalles!F:F,detalles!A:A,A13)</f>
        <v>945646</v>
      </c>
      <c r="H13" s="3">
        <f t="shared" si="0"/>
        <v>0</v>
      </c>
      <c r="I13" t="s">
        <v>79</v>
      </c>
      <c r="J13" t="s">
        <v>91</v>
      </c>
      <c r="K13" t="s">
        <v>159</v>
      </c>
    </row>
    <row r="14" spans="1:11" x14ac:dyDescent="0.25">
      <c r="A14">
        <v>24863</v>
      </c>
      <c r="B14">
        <v>900155107</v>
      </c>
      <c r="C14" t="s">
        <v>21</v>
      </c>
      <c r="D14">
        <v>2026</v>
      </c>
      <c r="E14" t="s">
        <v>77</v>
      </c>
      <c r="F14" s="3">
        <v>2502000</v>
      </c>
      <c r="G14" s="3">
        <f>SUMIFS(detalles!F:F,detalles!A:A,A14)</f>
        <v>2502000</v>
      </c>
      <c r="H14" s="3">
        <f t="shared" si="0"/>
        <v>0</v>
      </c>
      <c r="I14" t="s">
        <v>79</v>
      </c>
      <c r="J14" t="s">
        <v>92</v>
      </c>
      <c r="K14" t="s">
        <v>160</v>
      </c>
    </row>
    <row r="15" spans="1:11" x14ac:dyDescent="0.25">
      <c r="A15">
        <v>24874</v>
      </c>
      <c r="B15">
        <v>811041448</v>
      </c>
      <c r="C15" t="s">
        <v>22</v>
      </c>
      <c r="D15">
        <v>2026</v>
      </c>
      <c r="E15" t="s">
        <v>77</v>
      </c>
      <c r="F15" s="3">
        <v>1492595</v>
      </c>
      <c r="G15" s="3">
        <f>SUMIFS(detalles!F:F,detalles!A:A,A15)</f>
        <v>1492595</v>
      </c>
      <c r="H15" s="3">
        <f t="shared" si="0"/>
        <v>0</v>
      </c>
      <c r="I15" t="s">
        <v>79</v>
      </c>
      <c r="J15" t="s">
        <v>93</v>
      </c>
      <c r="K15" t="s">
        <v>161</v>
      </c>
    </row>
    <row r="16" spans="1:11" x14ac:dyDescent="0.25">
      <c r="A16">
        <v>24880</v>
      </c>
      <c r="B16">
        <v>800060276</v>
      </c>
      <c r="C16" t="s">
        <v>23</v>
      </c>
      <c r="D16">
        <v>2026</v>
      </c>
      <c r="E16" t="s">
        <v>77</v>
      </c>
      <c r="F16" s="3">
        <v>774260</v>
      </c>
      <c r="G16" s="3">
        <f>SUMIFS(detalles!F:F,detalles!A:A,A16)</f>
        <v>774260</v>
      </c>
      <c r="H16" s="3">
        <f t="shared" si="0"/>
        <v>0</v>
      </c>
      <c r="I16" t="s">
        <v>79</v>
      </c>
      <c r="J16" t="s">
        <v>94</v>
      </c>
      <c r="K16" t="s">
        <v>162</v>
      </c>
    </row>
    <row r="17" spans="1:11" x14ac:dyDescent="0.25">
      <c r="A17">
        <v>24881</v>
      </c>
      <c r="B17">
        <v>900129117</v>
      </c>
      <c r="C17" t="s">
        <v>24</v>
      </c>
      <c r="D17">
        <v>2026</v>
      </c>
      <c r="E17" t="s">
        <v>77</v>
      </c>
      <c r="F17" s="3">
        <v>1698000</v>
      </c>
      <c r="G17" s="3">
        <f>SUMIFS(detalles!F:F,detalles!A:A,A17)</f>
        <v>1698000</v>
      </c>
      <c r="H17" s="3">
        <f t="shared" si="0"/>
        <v>0</v>
      </c>
      <c r="I17" t="s">
        <v>79</v>
      </c>
      <c r="J17" t="s">
        <v>95</v>
      </c>
      <c r="K17" t="s">
        <v>163</v>
      </c>
    </row>
    <row r="18" spans="1:11" x14ac:dyDescent="0.25">
      <c r="A18">
        <v>24888</v>
      </c>
      <c r="B18">
        <v>811022796</v>
      </c>
      <c r="C18" t="s">
        <v>25</v>
      </c>
      <c r="D18">
        <v>2026</v>
      </c>
      <c r="E18" t="s">
        <v>77</v>
      </c>
      <c r="F18" s="3">
        <v>46000</v>
      </c>
      <c r="G18" s="3">
        <f>SUMIFS(detalles!F:F,detalles!A:A,A18)</f>
        <v>46000</v>
      </c>
      <c r="H18" s="3">
        <f t="shared" si="0"/>
        <v>0</v>
      </c>
      <c r="I18" t="s">
        <v>79</v>
      </c>
      <c r="J18" t="s">
        <v>96</v>
      </c>
      <c r="K18" t="s">
        <v>164</v>
      </c>
    </row>
    <row r="19" spans="1:11" x14ac:dyDescent="0.25">
      <c r="A19">
        <v>24845</v>
      </c>
      <c r="B19">
        <v>901400246</v>
      </c>
      <c r="C19" t="s">
        <v>26</v>
      </c>
      <c r="D19">
        <v>2026</v>
      </c>
      <c r="E19" t="s">
        <v>77</v>
      </c>
      <c r="F19" s="3">
        <v>51000</v>
      </c>
      <c r="G19" s="3">
        <f>SUMIFS(detalles!F:F,detalles!A:A,A19)</f>
        <v>51000</v>
      </c>
      <c r="H19" s="3">
        <f t="shared" si="0"/>
        <v>0</v>
      </c>
      <c r="I19" t="s">
        <v>79</v>
      </c>
      <c r="J19" t="s">
        <v>97</v>
      </c>
      <c r="K19" t="s">
        <v>165</v>
      </c>
    </row>
    <row r="20" spans="1:11" x14ac:dyDescent="0.25">
      <c r="A20">
        <v>24852</v>
      </c>
      <c r="B20">
        <v>860040576</v>
      </c>
      <c r="C20" t="s">
        <v>27</v>
      </c>
      <c r="D20">
        <v>2026</v>
      </c>
      <c r="E20" t="s">
        <v>77</v>
      </c>
      <c r="F20" s="3">
        <v>89000</v>
      </c>
      <c r="G20" s="3">
        <f>SUMIFS(detalles!F:F,detalles!A:A,A20)</f>
        <v>89000</v>
      </c>
      <c r="H20" s="3">
        <f t="shared" si="0"/>
        <v>0</v>
      </c>
      <c r="I20" t="s">
        <v>79</v>
      </c>
      <c r="J20" t="s">
        <v>98</v>
      </c>
      <c r="K20" t="s">
        <v>166</v>
      </c>
    </row>
    <row r="21" spans="1:11" x14ac:dyDescent="0.25">
      <c r="A21">
        <v>24890</v>
      </c>
      <c r="B21">
        <v>811029147</v>
      </c>
      <c r="C21" t="s">
        <v>28</v>
      </c>
      <c r="D21">
        <v>2026</v>
      </c>
      <c r="E21" t="s">
        <v>77</v>
      </c>
      <c r="F21" s="3">
        <v>457000</v>
      </c>
      <c r="G21" s="3">
        <f>SUMIFS(detalles!F:F,detalles!A:A,A21)</f>
        <v>457000</v>
      </c>
      <c r="H21" s="3">
        <f t="shared" si="0"/>
        <v>0</v>
      </c>
      <c r="I21" t="s">
        <v>79</v>
      </c>
      <c r="J21" t="s">
        <v>99</v>
      </c>
      <c r="K21" t="s">
        <v>167</v>
      </c>
    </row>
    <row r="22" spans="1:11" x14ac:dyDescent="0.25">
      <c r="A22">
        <v>24894</v>
      </c>
      <c r="B22">
        <v>901250356</v>
      </c>
      <c r="C22" t="s">
        <v>29</v>
      </c>
      <c r="D22">
        <v>2026</v>
      </c>
      <c r="E22" t="s">
        <v>77</v>
      </c>
      <c r="F22" s="3">
        <v>137086</v>
      </c>
      <c r="G22" s="3">
        <f>SUMIFS(detalles!F:F,detalles!A:A,A22)</f>
        <v>137086</v>
      </c>
      <c r="H22" s="3">
        <f t="shared" si="0"/>
        <v>0</v>
      </c>
      <c r="I22" t="s">
        <v>79</v>
      </c>
      <c r="J22" t="s">
        <v>100</v>
      </c>
      <c r="K22" t="s">
        <v>168</v>
      </c>
    </row>
    <row r="23" spans="1:11" x14ac:dyDescent="0.25">
      <c r="A23">
        <v>24713</v>
      </c>
      <c r="B23">
        <v>900191058</v>
      </c>
      <c r="C23" t="s">
        <v>30</v>
      </c>
      <c r="D23">
        <v>2026</v>
      </c>
      <c r="E23" t="s">
        <v>77</v>
      </c>
      <c r="F23" s="3">
        <v>488897</v>
      </c>
      <c r="G23" s="3">
        <f>SUMIFS(detalles!F:F,detalles!A:A,A23)</f>
        <v>488897</v>
      </c>
      <c r="H23" s="3">
        <f t="shared" si="0"/>
        <v>0</v>
      </c>
      <c r="I23" t="s">
        <v>79</v>
      </c>
      <c r="J23" t="s">
        <v>101</v>
      </c>
      <c r="K23" t="s">
        <v>169</v>
      </c>
    </row>
    <row r="24" spans="1:11" x14ac:dyDescent="0.25">
      <c r="A24">
        <v>24866</v>
      </c>
      <c r="B24">
        <v>860007336</v>
      </c>
      <c r="C24" t="s">
        <v>31</v>
      </c>
      <c r="D24">
        <v>2026</v>
      </c>
      <c r="E24" t="s">
        <v>77</v>
      </c>
      <c r="F24" s="3">
        <v>931000</v>
      </c>
      <c r="G24" s="3">
        <f>SUMIFS(detalles!F:F,detalles!A:A,A24)</f>
        <v>931000</v>
      </c>
      <c r="H24" s="3">
        <f t="shared" si="0"/>
        <v>0</v>
      </c>
      <c r="I24" t="s">
        <v>79</v>
      </c>
      <c r="J24" t="s">
        <v>102</v>
      </c>
      <c r="K24" t="s">
        <v>170</v>
      </c>
    </row>
    <row r="25" spans="1:11" x14ac:dyDescent="0.25">
      <c r="A25">
        <v>24896</v>
      </c>
      <c r="B25">
        <v>811015158</v>
      </c>
      <c r="C25" t="s">
        <v>32</v>
      </c>
      <c r="D25">
        <v>2026</v>
      </c>
      <c r="E25" t="s">
        <v>77</v>
      </c>
      <c r="F25" s="3">
        <v>267026</v>
      </c>
      <c r="G25" s="3">
        <f>SUMIFS(detalles!F:F,detalles!A:A,A25)</f>
        <v>267026</v>
      </c>
      <c r="H25" s="3">
        <f t="shared" si="0"/>
        <v>0</v>
      </c>
      <c r="I25" t="s">
        <v>79</v>
      </c>
      <c r="J25" t="s">
        <v>103</v>
      </c>
      <c r="K25" t="s">
        <v>171</v>
      </c>
    </row>
    <row r="26" spans="1:11" x14ac:dyDescent="0.25">
      <c r="A26">
        <v>24821</v>
      </c>
      <c r="B26">
        <v>890921157</v>
      </c>
      <c r="C26" t="s">
        <v>33</v>
      </c>
      <c r="D26">
        <v>2026</v>
      </c>
      <c r="E26" t="s">
        <v>77</v>
      </c>
      <c r="F26" s="3">
        <v>2000</v>
      </c>
      <c r="G26" s="3">
        <f>SUMIFS(detalles!F:F,detalles!A:A,A26)</f>
        <v>2000</v>
      </c>
      <c r="H26" s="3">
        <f t="shared" si="0"/>
        <v>0</v>
      </c>
      <c r="I26" t="s">
        <v>79</v>
      </c>
      <c r="J26" t="s">
        <v>104</v>
      </c>
      <c r="K26" t="s">
        <v>172</v>
      </c>
    </row>
    <row r="27" spans="1:11" x14ac:dyDescent="0.25">
      <c r="A27">
        <v>24906</v>
      </c>
      <c r="B27">
        <v>800204737</v>
      </c>
      <c r="C27" t="s">
        <v>34</v>
      </c>
      <c r="D27">
        <v>2026</v>
      </c>
      <c r="E27" t="s">
        <v>77</v>
      </c>
      <c r="F27" s="3">
        <v>452042</v>
      </c>
      <c r="G27" s="3">
        <f>SUMIFS(detalles!F:F,detalles!A:A,A27)</f>
        <v>452042</v>
      </c>
      <c r="H27" s="3">
        <f t="shared" si="0"/>
        <v>0</v>
      </c>
      <c r="I27" t="s">
        <v>79</v>
      </c>
      <c r="J27" t="s">
        <v>105</v>
      </c>
      <c r="K27" t="s">
        <v>173</v>
      </c>
    </row>
    <row r="28" spans="1:11" x14ac:dyDescent="0.25">
      <c r="A28">
        <v>24746</v>
      </c>
      <c r="B28">
        <v>860007738</v>
      </c>
      <c r="C28" t="s">
        <v>35</v>
      </c>
      <c r="D28">
        <v>2026</v>
      </c>
      <c r="E28" t="s">
        <v>77</v>
      </c>
      <c r="F28" s="3">
        <v>1198000</v>
      </c>
      <c r="G28" s="3">
        <f>SUMIFS(detalles!F:F,detalles!A:A,A28)</f>
        <v>1198000</v>
      </c>
      <c r="H28" s="3">
        <f t="shared" si="0"/>
        <v>0</v>
      </c>
      <c r="I28" t="s">
        <v>79</v>
      </c>
      <c r="J28" t="s">
        <v>106</v>
      </c>
      <c r="K28" t="s">
        <v>174</v>
      </c>
    </row>
    <row r="29" spans="1:11" x14ac:dyDescent="0.25">
      <c r="A29">
        <v>24908</v>
      </c>
      <c r="B29">
        <v>900673166</v>
      </c>
      <c r="C29" t="s">
        <v>36</v>
      </c>
      <c r="D29">
        <v>2026</v>
      </c>
      <c r="E29" t="s">
        <v>77</v>
      </c>
      <c r="F29" s="3">
        <v>108441</v>
      </c>
      <c r="G29" s="3">
        <f>SUMIFS(detalles!F:F,detalles!A:A,A29)</f>
        <v>108441</v>
      </c>
      <c r="H29" s="3">
        <f t="shared" si="0"/>
        <v>0</v>
      </c>
      <c r="I29" t="s">
        <v>79</v>
      </c>
      <c r="J29" t="s">
        <v>107</v>
      </c>
      <c r="K29" t="s">
        <v>175</v>
      </c>
    </row>
    <row r="30" spans="1:11" x14ac:dyDescent="0.25">
      <c r="A30">
        <v>24917</v>
      </c>
      <c r="B30">
        <v>900462716</v>
      </c>
      <c r="C30" t="s">
        <v>37</v>
      </c>
      <c r="D30">
        <v>2026</v>
      </c>
      <c r="E30" t="s">
        <v>77</v>
      </c>
      <c r="F30" s="3">
        <v>183720</v>
      </c>
      <c r="G30" s="3">
        <f>SUMIFS(detalles!F:F,detalles!A:A,A30)</f>
        <v>183720</v>
      </c>
      <c r="H30" s="3">
        <f t="shared" si="0"/>
        <v>0</v>
      </c>
      <c r="I30" t="s">
        <v>79</v>
      </c>
      <c r="J30" t="s">
        <v>108</v>
      </c>
      <c r="K30" t="s">
        <v>176</v>
      </c>
    </row>
    <row r="31" spans="1:11" x14ac:dyDescent="0.25">
      <c r="A31">
        <v>24839</v>
      </c>
      <c r="B31">
        <v>900623074</v>
      </c>
      <c r="C31" t="s">
        <v>38</v>
      </c>
      <c r="D31">
        <v>2026</v>
      </c>
      <c r="E31" t="s">
        <v>77</v>
      </c>
      <c r="F31" s="3">
        <v>41079</v>
      </c>
      <c r="G31" s="3">
        <f>SUMIFS(detalles!F:F,detalles!A:A,A31)</f>
        <v>41079</v>
      </c>
      <c r="H31" s="3">
        <f t="shared" si="0"/>
        <v>0</v>
      </c>
      <c r="I31" t="s">
        <v>79</v>
      </c>
      <c r="J31" t="s">
        <v>109</v>
      </c>
      <c r="K31" t="s">
        <v>177</v>
      </c>
    </row>
    <row r="32" spans="1:11" x14ac:dyDescent="0.25">
      <c r="A32">
        <v>24783</v>
      </c>
      <c r="B32">
        <v>901655409</v>
      </c>
      <c r="C32" t="s">
        <v>39</v>
      </c>
      <c r="D32">
        <v>2026</v>
      </c>
      <c r="E32" t="s">
        <v>77</v>
      </c>
      <c r="F32" s="3">
        <v>121350</v>
      </c>
      <c r="G32" s="3">
        <f>SUMIFS(detalles!F:F,detalles!A:A,A32)</f>
        <v>121350</v>
      </c>
      <c r="H32" s="3">
        <f t="shared" si="0"/>
        <v>0</v>
      </c>
      <c r="I32" t="s">
        <v>79</v>
      </c>
      <c r="J32" t="s">
        <v>110</v>
      </c>
      <c r="K32" t="s">
        <v>178</v>
      </c>
    </row>
    <row r="33" spans="1:11" x14ac:dyDescent="0.25">
      <c r="A33">
        <v>24847</v>
      </c>
      <c r="B33">
        <v>900883396</v>
      </c>
      <c r="C33" t="s">
        <v>40</v>
      </c>
      <c r="D33">
        <v>2026</v>
      </c>
      <c r="E33" t="s">
        <v>77</v>
      </c>
      <c r="F33" s="3">
        <v>5010</v>
      </c>
      <c r="G33" s="3">
        <f>SUMIFS(detalles!F:F,detalles!A:A,A33)</f>
        <v>5010</v>
      </c>
      <c r="H33" s="3">
        <f t="shared" si="0"/>
        <v>0</v>
      </c>
      <c r="I33" t="s">
        <v>79</v>
      </c>
      <c r="J33" t="s">
        <v>111</v>
      </c>
      <c r="K33" t="s">
        <v>179</v>
      </c>
    </row>
    <row r="34" spans="1:11" x14ac:dyDescent="0.25">
      <c r="A34">
        <v>24859</v>
      </c>
      <c r="B34">
        <v>900084859</v>
      </c>
      <c r="C34" t="s">
        <v>41</v>
      </c>
      <c r="D34">
        <v>2026</v>
      </c>
      <c r="E34" t="s">
        <v>77</v>
      </c>
      <c r="F34" s="3">
        <v>7000</v>
      </c>
      <c r="G34" s="3">
        <f>SUMIFS(detalles!F:F,detalles!A:A,A34)</f>
        <v>7000</v>
      </c>
      <c r="H34" s="3">
        <f t="shared" si="0"/>
        <v>0</v>
      </c>
      <c r="I34" t="s">
        <v>79</v>
      </c>
      <c r="J34" t="s">
        <v>112</v>
      </c>
      <c r="K34" t="s">
        <v>180</v>
      </c>
    </row>
    <row r="35" spans="1:11" x14ac:dyDescent="0.25">
      <c r="A35">
        <v>24870</v>
      </c>
      <c r="B35">
        <v>900068426</v>
      </c>
      <c r="C35" t="s">
        <v>42</v>
      </c>
      <c r="D35">
        <v>2026</v>
      </c>
      <c r="E35" t="s">
        <v>77</v>
      </c>
      <c r="F35" s="3">
        <v>356000</v>
      </c>
      <c r="G35" s="3">
        <f>SUMIFS(detalles!F:F,detalles!A:A,A35)</f>
        <v>356000</v>
      </c>
      <c r="H35" s="3">
        <f t="shared" si="0"/>
        <v>0</v>
      </c>
      <c r="I35" t="s">
        <v>79</v>
      </c>
      <c r="J35" t="s">
        <v>113</v>
      </c>
      <c r="K35" t="s">
        <v>181</v>
      </c>
    </row>
    <row r="36" spans="1:11" x14ac:dyDescent="0.25">
      <c r="A36">
        <v>24902</v>
      </c>
      <c r="B36">
        <v>890901176</v>
      </c>
      <c r="C36" t="s">
        <v>43</v>
      </c>
      <c r="D36">
        <v>2026</v>
      </c>
      <c r="E36" t="s">
        <v>77</v>
      </c>
      <c r="F36" s="3">
        <v>167520</v>
      </c>
      <c r="G36" s="3">
        <f>SUMIFS(detalles!F:F,detalles!A:A,A36)</f>
        <v>167520</v>
      </c>
      <c r="H36" s="3">
        <f t="shared" si="0"/>
        <v>0</v>
      </c>
      <c r="I36" t="s">
        <v>79</v>
      </c>
      <c r="J36" t="s">
        <v>114</v>
      </c>
      <c r="K36" t="s">
        <v>182</v>
      </c>
    </row>
    <row r="37" spans="1:11" x14ac:dyDescent="0.25">
      <c r="A37">
        <v>24910</v>
      </c>
      <c r="B37">
        <v>800197456</v>
      </c>
      <c r="C37" t="s">
        <v>44</v>
      </c>
      <c r="D37">
        <v>2026</v>
      </c>
      <c r="E37" t="s">
        <v>77</v>
      </c>
      <c r="F37" s="3">
        <v>92000</v>
      </c>
      <c r="G37" s="3">
        <f>SUMIFS(detalles!F:F,detalles!A:A,A37)</f>
        <v>92000</v>
      </c>
      <c r="H37" s="3">
        <f t="shared" si="0"/>
        <v>0</v>
      </c>
      <c r="I37" t="s">
        <v>79</v>
      </c>
      <c r="J37" t="s">
        <v>115</v>
      </c>
      <c r="K37" t="s">
        <v>183</v>
      </c>
    </row>
    <row r="38" spans="1:11" x14ac:dyDescent="0.25">
      <c r="A38">
        <v>24936</v>
      </c>
      <c r="B38">
        <v>900195166</v>
      </c>
      <c r="C38" t="s">
        <v>45</v>
      </c>
      <c r="D38">
        <v>2026</v>
      </c>
      <c r="E38" t="s">
        <v>77</v>
      </c>
      <c r="F38" s="3">
        <v>6555496</v>
      </c>
      <c r="G38" s="3">
        <f>SUMIFS(detalles!F:F,detalles!A:A,A38)</f>
        <v>6555496</v>
      </c>
      <c r="H38" s="3">
        <f t="shared" si="0"/>
        <v>0</v>
      </c>
      <c r="I38" t="s">
        <v>79</v>
      </c>
      <c r="J38" t="s">
        <v>116</v>
      </c>
      <c r="K38" t="s">
        <v>184</v>
      </c>
    </row>
    <row r="39" spans="1:11" x14ac:dyDescent="0.25">
      <c r="A39">
        <v>24925</v>
      </c>
      <c r="B39">
        <v>800130047</v>
      </c>
      <c r="C39" t="s">
        <v>46</v>
      </c>
      <c r="D39">
        <v>2026</v>
      </c>
      <c r="E39" t="s">
        <v>77</v>
      </c>
      <c r="F39" s="3">
        <v>160000</v>
      </c>
      <c r="G39" s="3">
        <f>SUMIFS(detalles!F:F,detalles!A:A,A39)</f>
        <v>160000</v>
      </c>
      <c r="H39" s="3">
        <f t="shared" si="0"/>
        <v>0</v>
      </c>
      <c r="I39" t="s">
        <v>79</v>
      </c>
      <c r="J39" t="s">
        <v>117</v>
      </c>
      <c r="K39" t="s">
        <v>185</v>
      </c>
    </row>
    <row r="40" spans="1:11" x14ac:dyDescent="0.25">
      <c r="A40">
        <v>24926</v>
      </c>
      <c r="B40">
        <v>900291526</v>
      </c>
      <c r="C40" t="s">
        <v>47</v>
      </c>
      <c r="D40">
        <v>2026</v>
      </c>
      <c r="E40" t="s">
        <v>77</v>
      </c>
      <c r="F40" s="3">
        <v>224000</v>
      </c>
      <c r="G40" s="3">
        <f>SUMIFS(detalles!F:F,detalles!A:A,A40)</f>
        <v>224000</v>
      </c>
      <c r="H40" s="3">
        <f t="shared" si="0"/>
        <v>0</v>
      </c>
      <c r="I40" t="s">
        <v>79</v>
      </c>
      <c r="J40" t="s">
        <v>118</v>
      </c>
      <c r="K40" t="s">
        <v>186</v>
      </c>
    </row>
    <row r="41" spans="1:11" x14ac:dyDescent="0.25">
      <c r="A41">
        <v>24891</v>
      </c>
      <c r="B41">
        <v>900816838</v>
      </c>
      <c r="C41" t="s">
        <v>48</v>
      </c>
      <c r="D41">
        <v>2026</v>
      </c>
      <c r="E41" t="s">
        <v>77</v>
      </c>
      <c r="F41" s="3">
        <v>709000</v>
      </c>
      <c r="G41" s="3">
        <f>SUMIFS(detalles!F:F,detalles!A:A,A41)</f>
        <v>709000</v>
      </c>
      <c r="H41" s="3">
        <f t="shared" si="0"/>
        <v>0</v>
      </c>
      <c r="I41" t="s">
        <v>79</v>
      </c>
      <c r="J41" t="s">
        <v>119</v>
      </c>
      <c r="K41" t="s">
        <v>187</v>
      </c>
    </row>
    <row r="42" spans="1:11" x14ac:dyDescent="0.25">
      <c r="A42">
        <v>24904</v>
      </c>
      <c r="B42">
        <v>800020706</v>
      </c>
      <c r="C42" t="s">
        <v>49</v>
      </c>
      <c r="D42">
        <v>2026</v>
      </c>
      <c r="E42" t="s">
        <v>77</v>
      </c>
      <c r="F42" s="3">
        <v>291000</v>
      </c>
      <c r="G42" s="3">
        <f>SUMIFS(detalles!F:F,detalles!A:A,A42)</f>
        <v>291000</v>
      </c>
      <c r="H42" s="3">
        <f t="shared" si="0"/>
        <v>0</v>
      </c>
      <c r="I42" t="s">
        <v>79</v>
      </c>
      <c r="J42" t="s">
        <v>120</v>
      </c>
      <c r="K42" t="s">
        <v>188</v>
      </c>
    </row>
    <row r="43" spans="1:11" x14ac:dyDescent="0.25">
      <c r="A43">
        <v>24938</v>
      </c>
      <c r="B43">
        <v>860000656</v>
      </c>
      <c r="C43" t="s">
        <v>50</v>
      </c>
      <c r="D43">
        <v>2026</v>
      </c>
      <c r="E43" t="s">
        <v>77</v>
      </c>
      <c r="F43" s="3">
        <v>101000</v>
      </c>
      <c r="G43" s="3">
        <f>SUMIFS(detalles!F:F,detalles!A:A,A43)</f>
        <v>101000</v>
      </c>
      <c r="H43" s="3">
        <f t="shared" si="0"/>
        <v>0</v>
      </c>
      <c r="I43" t="s">
        <v>79</v>
      </c>
      <c r="J43" t="s">
        <v>121</v>
      </c>
      <c r="K43" t="s">
        <v>189</v>
      </c>
    </row>
    <row r="44" spans="1:11" x14ac:dyDescent="0.25">
      <c r="A44">
        <v>24939</v>
      </c>
      <c r="B44">
        <v>890500726</v>
      </c>
      <c r="C44" t="s">
        <v>51</v>
      </c>
      <c r="D44">
        <v>2026</v>
      </c>
      <c r="E44" t="s">
        <v>77</v>
      </c>
      <c r="F44" s="3">
        <v>68000</v>
      </c>
      <c r="G44" s="3">
        <f>SUMIFS(detalles!F:F,detalles!A:A,A44)</f>
        <v>68000</v>
      </c>
      <c r="H44" s="3">
        <f t="shared" si="0"/>
        <v>0</v>
      </c>
      <c r="I44" t="s">
        <v>79</v>
      </c>
      <c r="J44" t="s">
        <v>122</v>
      </c>
      <c r="K44" t="s">
        <v>190</v>
      </c>
    </row>
    <row r="45" spans="1:11" x14ac:dyDescent="0.25">
      <c r="A45">
        <v>24934</v>
      </c>
      <c r="B45">
        <v>900303337</v>
      </c>
      <c r="C45" t="s">
        <v>52</v>
      </c>
      <c r="D45">
        <v>2026</v>
      </c>
      <c r="E45" t="s">
        <v>77</v>
      </c>
      <c r="F45" s="3">
        <v>48384</v>
      </c>
      <c r="G45" s="3">
        <f>SUMIFS(detalles!F:F,detalles!A:A,A45)</f>
        <v>48384</v>
      </c>
      <c r="H45" s="3">
        <f t="shared" si="0"/>
        <v>0</v>
      </c>
      <c r="I45" t="s">
        <v>79</v>
      </c>
      <c r="J45" t="s">
        <v>123</v>
      </c>
      <c r="K45" t="s">
        <v>191</v>
      </c>
    </row>
    <row r="46" spans="1:11" x14ac:dyDescent="0.25">
      <c r="A46">
        <v>24948</v>
      </c>
      <c r="B46">
        <v>901580486</v>
      </c>
      <c r="C46" t="s">
        <v>53</v>
      </c>
      <c r="D46">
        <v>2026</v>
      </c>
      <c r="E46" t="s">
        <v>77</v>
      </c>
      <c r="F46" s="3">
        <v>9711000</v>
      </c>
      <c r="G46" s="3">
        <f>SUMIFS(detalles!F:F,detalles!A:A,A46)</f>
        <v>9711000</v>
      </c>
      <c r="H46" s="3">
        <f t="shared" si="0"/>
        <v>0</v>
      </c>
      <c r="I46" t="s">
        <v>79</v>
      </c>
      <c r="J46" t="s">
        <v>124</v>
      </c>
      <c r="K46" t="s">
        <v>192</v>
      </c>
    </row>
    <row r="47" spans="1:11" x14ac:dyDescent="0.25">
      <c r="A47">
        <v>24951</v>
      </c>
      <c r="B47">
        <v>891700037</v>
      </c>
      <c r="C47" t="s">
        <v>54</v>
      </c>
      <c r="D47">
        <v>2026</v>
      </c>
      <c r="E47" t="s">
        <v>77</v>
      </c>
      <c r="F47" s="3">
        <v>1083000</v>
      </c>
      <c r="G47" s="3">
        <f>SUMIFS(detalles!F:F,detalles!A:A,A47)</f>
        <v>1083000</v>
      </c>
      <c r="H47" s="3">
        <f t="shared" si="0"/>
        <v>0</v>
      </c>
      <c r="I47" t="s">
        <v>79</v>
      </c>
      <c r="J47" t="s">
        <v>125</v>
      </c>
      <c r="K47" t="s">
        <v>193</v>
      </c>
    </row>
    <row r="48" spans="1:11" x14ac:dyDescent="0.25">
      <c r="A48">
        <v>24935</v>
      </c>
      <c r="B48">
        <v>900642557</v>
      </c>
      <c r="C48" t="s">
        <v>55</v>
      </c>
      <c r="D48">
        <v>2026</v>
      </c>
      <c r="E48" t="s">
        <v>77</v>
      </c>
      <c r="F48" s="3">
        <v>7135778</v>
      </c>
      <c r="G48" s="3">
        <f>SUMIFS(detalles!F:F,detalles!A:A,A48)</f>
        <v>7135778</v>
      </c>
      <c r="H48" s="3">
        <f t="shared" si="0"/>
        <v>0</v>
      </c>
      <c r="I48" t="s">
        <v>79</v>
      </c>
      <c r="J48" t="s">
        <v>126</v>
      </c>
      <c r="K48" t="s">
        <v>194</v>
      </c>
    </row>
    <row r="49" spans="1:11" x14ac:dyDescent="0.25">
      <c r="A49">
        <v>24884</v>
      </c>
      <c r="B49">
        <v>800137960</v>
      </c>
      <c r="C49" t="s">
        <v>56</v>
      </c>
      <c r="D49">
        <v>2026</v>
      </c>
      <c r="E49" t="s">
        <v>77</v>
      </c>
      <c r="F49" s="3">
        <v>1104000</v>
      </c>
      <c r="G49" s="3">
        <f>SUMIFS(detalles!F:F,detalles!A:A,A49)</f>
        <v>1104000</v>
      </c>
      <c r="H49" s="3">
        <f t="shared" si="0"/>
        <v>0</v>
      </c>
      <c r="I49" t="s">
        <v>79</v>
      </c>
      <c r="J49" t="s">
        <v>127</v>
      </c>
      <c r="K49" t="s">
        <v>195</v>
      </c>
    </row>
    <row r="50" spans="1:11" x14ac:dyDescent="0.25">
      <c r="A50">
        <v>24954</v>
      </c>
      <c r="B50">
        <v>900784477</v>
      </c>
      <c r="C50" t="s">
        <v>57</v>
      </c>
      <c r="D50">
        <v>2026</v>
      </c>
      <c r="E50" t="s">
        <v>77</v>
      </c>
      <c r="F50" s="3">
        <v>48000</v>
      </c>
      <c r="G50" s="3">
        <f>SUMIFS(detalles!F:F,detalles!A:A,A50)</f>
        <v>48000</v>
      </c>
      <c r="H50" s="3">
        <f t="shared" si="0"/>
        <v>0</v>
      </c>
      <c r="I50" t="s">
        <v>79</v>
      </c>
      <c r="J50" t="s">
        <v>128</v>
      </c>
      <c r="K50" t="s">
        <v>196</v>
      </c>
    </row>
    <row r="51" spans="1:11" x14ac:dyDescent="0.25">
      <c r="A51">
        <v>24860</v>
      </c>
      <c r="B51">
        <v>830002655</v>
      </c>
      <c r="C51" t="s">
        <v>58</v>
      </c>
      <c r="D51">
        <v>2026</v>
      </c>
      <c r="E51" t="s">
        <v>77</v>
      </c>
      <c r="F51" s="3">
        <v>34000</v>
      </c>
      <c r="G51" s="3">
        <f>SUMIFS(detalles!F:F,detalles!A:A,A51)</f>
        <v>34000</v>
      </c>
      <c r="H51" s="3">
        <f t="shared" si="0"/>
        <v>0</v>
      </c>
      <c r="I51" t="s">
        <v>79</v>
      </c>
      <c r="J51" t="s">
        <v>129</v>
      </c>
      <c r="K51" t="s">
        <v>197</v>
      </c>
    </row>
    <row r="52" spans="1:11" x14ac:dyDescent="0.25">
      <c r="A52">
        <v>24918</v>
      </c>
      <c r="B52">
        <v>901540916</v>
      </c>
      <c r="C52" t="s">
        <v>59</v>
      </c>
      <c r="D52">
        <v>2026</v>
      </c>
      <c r="E52" t="s">
        <v>77</v>
      </c>
      <c r="F52" s="3">
        <v>385000</v>
      </c>
      <c r="G52" s="3">
        <f>SUMIFS(detalles!F:F,detalles!A:A,A52)</f>
        <v>385000</v>
      </c>
      <c r="H52" s="3">
        <f t="shared" si="0"/>
        <v>0</v>
      </c>
      <c r="I52" t="s">
        <v>79</v>
      </c>
      <c r="J52" t="s">
        <v>130</v>
      </c>
      <c r="K52" t="s">
        <v>198</v>
      </c>
    </row>
    <row r="53" spans="1:11" x14ac:dyDescent="0.25">
      <c r="A53">
        <v>24955</v>
      </c>
      <c r="B53">
        <v>890900016</v>
      </c>
      <c r="C53" t="s">
        <v>60</v>
      </c>
      <c r="D53">
        <v>2026</v>
      </c>
      <c r="E53" t="s">
        <v>77</v>
      </c>
      <c r="F53" s="3">
        <v>15000</v>
      </c>
      <c r="G53" s="3">
        <f>SUMIFS(detalles!F:F,detalles!A:A,A53)</f>
        <v>15000</v>
      </c>
      <c r="H53" s="3">
        <f t="shared" si="0"/>
        <v>0</v>
      </c>
      <c r="I53" t="s">
        <v>79</v>
      </c>
      <c r="J53" t="s">
        <v>131</v>
      </c>
      <c r="K53" t="s">
        <v>199</v>
      </c>
    </row>
    <row r="54" spans="1:11" x14ac:dyDescent="0.25">
      <c r="A54">
        <v>24956</v>
      </c>
      <c r="B54">
        <v>900791257</v>
      </c>
      <c r="C54" t="s">
        <v>61</v>
      </c>
      <c r="D54">
        <v>2026</v>
      </c>
      <c r="E54" t="s">
        <v>77</v>
      </c>
      <c r="F54" s="3">
        <v>14240</v>
      </c>
      <c r="G54" s="3">
        <f>SUMIFS(detalles!F:F,detalles!A:A,A54)</f>
        <v>14240</v>
      </c>
      <c r="H54" s="3">
        <f t="shared" si="0"/>
        <v>0</v>
      </c>
      <c r="I54" t="s">
        <v>79</v>
      </c>
      <c r="J54" t="s">
        <v>132</v>
      </c>
      <c r="K54" t="s">
        <v>200</v>
      </c>
    </row>
    <row r="55" spans="1:11" x14ac:dyDescent="0.25">
      <c r="A55">
        <v>24957</v>
      </c>
      <c r="B55">
        <v>900315057</v>
      </c>
      <c r="C55" t="s">
        <v>62</v>
      </c>
      <c r="D55">
        <v>2026</v>
      </c>
      <c r="E55" t="s">
        <v>77</v>
      </c>
      <c r="F55" s="3">
        <v>4838929</v>
      </c>
      <c r="G55" s="3">
        <f>SUMIFS(detalles!F:F,detalles!A:A,A55)</f>
        <v>4838929</v>
      </c>
      <c r="H55" s="3">
        <f t="shared" si="0"/>
        <v>0</v>
      </c>
      <c r="I55" t="s">
        <v>79</v>
      </c>
      <c r="J55" t="s">
        <v>133</v>
      </c>
      <c r="K55" t="s">
        <v>201</v>
      </c>
    </row>
    <row r="56" spans="1:11" x14ac:dyDescent="0.25">
      <c r="A56">
        <v>24962</v>
      </c>
      <c r="B56">
        <v>830033206</v>
      </c>
      <c r="C56" t="s">
        <v>63</v>
      </c>
      <c r="D56">
        <v>2026</v>
      </c>
      <c r="E56" t="s">
        <v>77</v>
      </c>
      <c r="F56" s="3">
        <v>4000</v>
      </c>
      <c r="G56" s="3">
        <f>SUMIFS(detalles!F:F,detalles!A:A,A56)</f>
        <v>4000</v>
      </c>
      <c r="H56" s="3">
        <f t="shared" si="0"/>
        <v>0</v>
      </c>
      <c r="I56" t="s">
        <v>79</v>
      </c>
      <c r="J56" t="s">
        <v>134</v>
      </c>
      <c r="K56" t="s">
        <v>202</v>
      </c>
    </row>
    <row r="57" spans="1:11" x14ac:dyDescent="0.25">
      <c r="A57">
        <v>24963</v>
      </c>
      <c r="B57">
        <v>900342297</v>
      </c>
      <c r="C57" t="s">
        <v>64</v>
      </c>
      <c r="D57">
        <v>2026</v>
      </c>
      <c r="E57" t="s">
        <v>77</v>
      </c>
      <c r="F57" s="3">
        <v>35000</v>
      </c>
      <c r="G57" s="3">
        <f>SUMIFS(detalles!F:F,detalles!A:A,A57)</f>
        <v>35000</v>
      </c>
      <c r="H57" s="3">
        <f t="shared" si="0"/>
        <v>0</v>
      </c>
      <c r="I57" t="s">
        <v>79</v>
      </c>
      <c r="J57" t="s">
        <v>135</v>
      </c>
      <c r="K57" t="s">
        <v>203</v>
      </c>
    </row>
    <row r="58" spans="1:11" x14ac:dyDescent="0.25">
      <c r="A58">
        <v>24952</v>
      </c>
      <c r="B58">
        <v>860035827</v>
      </c>
      <c r="C58" t="s">
        <v>65</v>
      </c>
      <c r="D58">
        <v>2026</v>
      </c>
      <c r="E58" t="s">
        <v>77</v>
      </c>
      <c r="F58" s="3">
        <v>430000</v>
      </c>
      <c r="G58" s="3">
        <f>SUMIFS(detalles!F:F,detalles!A:A,A58)</f>
        <v>430000</v>
      </c>
      <c r="H58" s="3">
        <f t="shared" si="0"/>
        <v>0</v>
      </c>
      <c r="I58" t="s">
        <v>79</v>
      </c>
      <c r="J58" t="s">
        <v>136</v>
      </c>
      <c r="K58" t="s">
        <v>204</v>
      </c>
    </row>
    <row r="59" spans="1:11" x14ac:dyDescent="0.25">
      <c r="A59">
        <v>24958</v>
      </c>
      <c r="B59">
        <v>890926803</v>
      </c>
      <c r="C59" t="s">
        <v>66</v>
      </c>
      <c r="D59">
        <v>2026</v>
      </c>
      <c r="E59" t="s">
        <v>77</v>
      </c>
      <c r="F59" s="3">
        <v>310000</v>
      </c>
      <c r="G59" s="3">
        <f>SUMIFS(detalles!F:F,detalles!A:A,A59)</f>
        <v>310000</v>
      </c>
      <c r="H59" s="3">
        <f t="shared" si="0"/>
        <v>0</v>
      </c>
      <c r="I59" t="s">
        <v>79</v>
      </c>
      <c r="J59" t="s">
        <v>137</v>
      </c>
      <c r="K59" t="s">
        <v>205</v>
      </c>
    </row>
    <row r="60" spans="1:11" x14ac:dyDescent="0.25">
      <c r="A60">
        <v>24964</v>
      </c>
      <c r="B60">
        <v>830054076</v>
      </c>
      <c r="C60" t="s">
        <v>67</v>
      </c>
      <c r="D60">
        <v>2026</v>
      </c>
      <c r="E60" t="s">
        <v>77</v>
      </c>
      <c r="F60" s="3">
        <v>2857000</v>
      </c>
      <c r="G60" s="3">
        <f>SUMIFS(detalles!F:F,detalles!A:A,A60)</f>
        <v>2857000</v>
      </c>
      <c r="H60" s="3">
        <f t="shared" si="0"/>
        <v>0</v>
      </c>
      <c r="I60" t="s">
        <v>79</v>
      </c>
      <c r="J60" t="s">
        <v>138</v>
      </c>
      <c r="K60" t="s">
        <v>206</v>
      </c>
    </row>
    <row r="61" spans="1:11" x14ac:dyDescent="0.25">
      <c r="A61">
        <v>24856</v>
      </c>
      <c r="B61">
        <v>890909246</v>
      </c>
      <c r="C61" t="s">
        <v>68</v>
      </c>
      <c r="D61">
        <v>2026</v>
      </c>
      <c r="E61" t="s">
        <v>77</v>
      </c>
      <c r="F61" s="3">
        <v>243320</v>
      </c>
      <c r="G61" s="3">
        <f>SUMIFS(detalles!F:F,detalles!A:A,A61)</f>
        <v>243320</v>
      </c>
      <c r="H61" s="3">
        <f t="shared" si="0"/>
        <v>0</v>
      </c>
      <c r="I61" t="s">
        <v>79</v>
      </c>
      <c r="J61" t="s">
        <v>139</v>
      </c>
      <c r="K61" t="s">
        <v>207</v>
      </c>
    </row>
    <row r="62" spans="1:11" x14ac:dyDescent="0.25">
      <c r="A62">
        <v>24971</v>
      </c>
      <c r="B62">
        <v>890918866</v>
      </c>
      <c r="C62" t="s">
        <v>69</v>
      </c>
      <c r="D62">
        <v>2026</v>
      </c>
      <c r="E62" t="s">
        <v>77</v>
      </c>
      <c r="F62" s="3">
        <v>48000</v>
      </c>
      <c r="G62" s="3">
        <f>SUMIFS(detalles!F:F,detalles!A:A,A62)</f>
        <v>48000</v>
      </c>
      <c r="H62" s="3">
        <f t="shared" si="0"/>
        <v>0</v>
      </c>
      <c r="I62" t="s">
        <v>79</v>
      </c>
      <c r="J62" t="s">
        <v>140</v>
      </c>
      <c r="K62" t="s">
        <v>208</v>
      </c>
    </row>
    <row r="63" spans="1:11" x14ac:dyDescent="0.25">
      <c r="A63">
        <v>24930</v>
      </c>
      <c r="B63">
        <v>800242427</v>
      </c>
      <c r="C63" t="s">
        <v>70</v>
      </c>
      <c r="D63">
        <v>2026</v>
      </c>
      <c r="E63" t="s">
        <v>77</v>
      </c>
      <c r="F63" s="3">
        <v>131000</v>
      </c>
      <c r="G63" s="3">
        <f>SUMIFS(detalles!F:F,detalles!A:A,A63)</f>
        <v>131000</v>
      </c>
      <c r="H63" s="3">
        <f t="shared" si="0"/>
        <v>0</v>
      </c>
      <c r="I63" t="s">
        <v>79</v>
      </c>
      <c r="J63" t="s">
        <v>141</v>
      </c>
      <c r="K63" t="s">
        <v>209</v>
      </c>
    </row>
    <row r="64" spans="1:11" x14ac:dyDescent="0.25">
      <c r="A64">
        <v>24922</v>
      </c>
      <c r="B64">
        <v>811031936</v>
      </c>
      <c r="C64" t="s">
        <v>71</v>
      </c>
      <c r="D64">
        <v>2026</v>
      </c>
      <c r="E64" t="s">
        <v>77</v>
      </c>
      <c r="F64" s="3">
        <v>418565</v>
      </c>
      <c r="G64" s="3">
        <f>SUMIFS(detalles!F:F,detalles!A:A,A64)</f>
        <v>418565</v>
      </c>
      <c r="H64" s="3">
        <f t="shared" si="0"/>
        <v>0</v>
      </c>
      <c r="I64" t="s">
        <v>79</v>
      </c>
      <c r="J64" t="s">
        <v>142</v>
      </c>
      <c r="K64" t="s">
        <v>210</v>
      </c>
    </row>
    <row r="65" spans="1:11" x14ac:dyDescent="0.25">
      <c r="A65">
        <v>24959</v>
      </c>
      <c r="B65">
        <v>901675630</v>
      </c>
      <c r="C65" t="s">
        <v>72</v>
      </c>
      <c r="D65">
        <v>2026</v>
      </c>
      <c r="E65" t="s">
        <v>77</v>
      </c>
      <c r="F65" s="3">
        <v>1154534</v>
      </c>
      <c r="G65" s="3">
        <f>SUMIFS(detalles!F:F,detalles!A:A,A65)</f>
        <v>1154534</v>
      </c>
      <c r="H65" s="3">
        <f t="shared" si="0"/>
        <v>0</v>
      </c>
      <c r="I65" t="s">
        <v>79</v>
      </c>
      <c r="J65" t="s">
        <v>143</v>
      </c>
      <c r="K65" t="s">
        <v>211</v>
      </c>
    </row>
    <row r="66" spans="1:11" x14ac:dyDescent="0.25">
      <c r="A66">
        <v>24960</v>
      </c>
      <c r="B66">
        <v>900763226</v>
      </c>
      <c r="C66" t="s">
        <v>73</v>
      </c>
      <c r="D66">
        <v>2026</v>
      </c>
      <c r="E66" t="s">
        <v>77</v>
      </c>
      <c r="F66" s="3">
        <v>149000</v>
      </c>
      <c r="G66" s="3">
        <f>SUMIFS(detalles!F:F,detalles!A:A,A66)</f>
        <v>149000</v>
      </c>
      <c r="H66" s="3">
        <f t="shared" si="0"/>
        <v>0</v>
      </c>
      <c r="I66" t="s">
        <v>79</v>
      </c>
      <c r="J66" t="s">
        <v>144</v>
      </c>
      <c r="K66" t="s">
        <v>212</v>
      </c>
    </row>
    <row r="67" spans="1:11" x14ac:dyDescent="0.25">
      <c r="A67">
        <v>24975</v>
      </c>
      <c r="B67">
        <v>830122566</v>
      </c>
      <c r="C67" t="s">
        <v>74</v>
      </c>
      <c r="D67">
        <v>2026</v>
      </c>
      <c r="E67" t="s">
        <v>77</v>
      </c>
      <c r="F67" s="3">
        <v>2975000</v>
      </c>
      <c r="G67" s="3">
        <f>SUMIFS(detalles!F:F,detalles!A:A,A67)</f>
        <v>2975000</v>
      </c>
      <c r="H67" s="3">
        <f t="shared" ref="H67:H69" si="1">F67-G67</f>
        <v>0</v>
      </c>
      <c r="I67" t="s">
        <v>79</v>
      </c>
      <c r="J67" t="s">
        <v>145</v>
      </c>
      <c r="K67" t="s">
        <v>213</v>
      </c>
    </row>
    <row r="68" spans="1:11" x14ac:dyDescent="0.25">
      <c r="A68">
        <v>24941</v>
      </c>
      <c r="B68">
        <v>890902916</v>
      </c>
      <c r="C68" t="s">
        <v>75</v>
      </c>
      <c r="D68">
        <v>2026</v>
      </c>
      <c r="E68" t="s">
        <v>77</v>
      </c>
      <c r="F68" s="3">
        <v>2293000</v>
      </c>
      <c r="G68" s="3">
        <f>SUMIFS(detalles!F:F,detalles!A:A,A68)</f>
        <v>2293000</v>
      </c>
      <c r="H68" s="3">
        <f t="shared" si="1"/>
        <v>0</v>
      </c>
      <c r="I68" t="s">
        <v>79</v>
      </c>
      <c r="J68" t="s">
        <v>146</v>
      </c>
      <c r="K68" t="s">
        <v>214</v>
      </c>
    </row>
    <row r="69" spans="1:11" x14ac:dyDescent="0.25">
      <c r="A69">
        <v>24846</v>
      </c>
      <c r="B69">
        <v>800098726</v>
      </c>
      <c r="C69" t="s">
        <v>76</v>
      </c>
      <c r="D69">
        <v>2026</v>
      </c>
      <c r="E69" t="s">
        <v>77</v>
      </c>
      <c r="F69" s="3">
        <v>109065</v>
      </c>
      <c r="G69" s="3">
        <f>SUMIFS(detalles!F:F,detalles!A:A,A69)</f>
        <v>109065</v>
      </c>
      <c r="H69" s="3">
        <f t="shared" si="1"/>
        <v>0</v>
      </c>
      <c r="I69" t="s">
        <v>79</v>
      </c>
      <c r="J69" t="s">
        <v>147</v>
      </c>
      <c r="K69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5A6-B828-4C30-96EB-0C459A96A5C2}">
  <dimension ref="A1:F73"/>
  <sheetViews>
    <sheetView tabSelected="1" workbookViewId="0">
      <selection activeCell="C7" sqref="C7"/>
    </sheetView>
  </sheetViews>
  <sheetFormatPr baseColWidth="10" defaultRowHeight="15" x14ac:dyDescent="0.25"/>
  <cols>
    <col min="1" max="1" width="13.28515625" style="8" bestFit="1" customWidth="1"/>
    <col min="2" max="2" width="21.7109375" style="8" bestFit="1" customWidth="1"/>
    <col min="3" max="3" width="59.5703125" style="8" bestFit="1" customWidth="1"/>
    <col min="4" max="4" width="11.42578125" style="8"/>
    <col min="5" max="5" width="33.7109375" style="8" bestFit="1" customWidth="1"/>
    <col min="6" max="6" width="14.5703125" style="11" bestFit="1" customWidth="1"/>
    <col min="7" max="16384" width="11.42578125" style="8"/>
  </cols>
  <sheetData>
    <row r="1" spans="1:6" ht="15.75" x14ac:dyDescent="0.25">
      <c r="A1" s="12" t="s">
        <v>216</v>
      </c>
      <c r="B1" s="12" t="s">
        <v>1</v>
      </c>
      <c r="C1" s="12" t="s">
        <v>2</v>
      </c>
      <c r="D1" s="12" t="s">
        <v>217</v>
      </c>
      <c r="E1" s="12" t="s">
        <v>218</v>
      </c>
      <c r="F1" s="6" t="s">
        <v>219</v>
      </c>
    </row>
    <row r="2" spans="1:6" ht="15.75" x14ac:dyDescent="0.25">
      <c r="A2" s="8">
        <v>24713</v>
      </c>
      <c r="B2" s="8">
        <v>900191058</v>
      </c>
      <c r="C2" s="8" t="s">
        <v>30</v>
      </c>
      <c r="D2" s="9" t="s">
        <v>220</v>
      </c>
      <c r="E2" s="9" t="s">
        <v>221</v>
      </c>
      <c r="F2" s="11">
        <v>488897</v>
      </c>
    </row>
    <row r="3" spans="1:6" ht="15.75" x14ac:dyDescent="0.25">
      <c r="A3" s="8">
        <v>24746</v>
      </c>
      <c r="B3" s="8">
        <v>860007738</v>
      </c>
      <c r="C3" s="8" t="s">
        <v>35</v>
      </c>
      <c r="D3" s="9" t="s">
        <v>220</v>
      </c>
      <c r="E3" s="9" t="s">
        <v>221</v>
      </c>
      <c r="F3" s="11">
        <v>1198000</v>
      </c>
    </row>
    <row r="4" spans="1:6" ht="15.75" x14ac:dyDescent="0.25">
      <c r="A4" s="8">
        <v>24777</v>
      </c>
      <c r="B4" s="8">
        <v>800204226</v>
      </c>
      <c r="C4" s="8" t="s">
        <v>9</v>
      </c>
      <c r="D4" s="9" t="s">
        <v>220</v>
      </c>
      <c r="E4" s="9" t="s">
        <v>221</v>
      </c>
      <c r="F4" s="11">
        <v>90000</v>
      </c>
    </row>
    <row r="5" spans="1:6" ht="15.75" x14ac:dyDescent="0.25">
      <c r="A5" s="8">
        <v>24783</v>
      </c>
      <c r="B5" s="8">
        <v>901655409</v>
      </c>
      <c r="C5" s="8" t="s">
        <v>39</v>
      </c>
      <c r="D5" s="9" t="s">
        <v>220</v>
      </c>
      <c r="E5" s="9" t="s">
        <v>221</v>
      </c>
      <c r="F5" s="11">
        <v>121350</v>
      </c>
    </row>
    <row r="6" spans="1:6" ht="15.75" x14ac:dyDescent="0.25">
      <c r="A6" s="8">
        <v>24821</v>
      </c>
      <c r="B6" s="8">
        <v>890921157</v>
      </c>
      <c r="C6" s="8" t="s">
        <v>33</v>
      </c>
      <c r="D6" s="9" t="s">
        <v>220</v>
      </c>
      <c r="E6" s="9" t="s">
        <v>221</v>
      </c>
      <c r="F6" s="11">
        <v>2000</v>
      </c>
    </row>
    <row r="7" spans="1:6" ht="15.75" x14ac:dyDescent="0.25">
      <c r="A7" s="8">
        <v>24833</v>
      </c>
      <c r="B7" s="8">
        <v>901326859</v>
      </c>
      <c r="C7" s="8" t="s">
        <v>10</v>
      </c>
      <c r="D7" s="9" t="s">
        <v>220</v>
      </c>
      <c r="E7" s="9" t="s">
        <v>221</v>
      </c>
      <c r="F7" s="11">
        <v>43000</v>
      </c>
    </row>
    <row r="8" spans="1:6" ht="15.75" x14ac:dyDescent="0.25">
      <c r="A8" s="8">
        <v>24837</v>
      </c>
      <c r="B8" s="8">
        <v>830096376</v>
      </c>
      <c r="C8" s="8" t="s">
        <v>17</v>
      </c>
      <c r="D8" s="9" t="s">
        <v>220</v>
      </c>
      <c r="E8" s="9" t="s">
        <v>221</v>
      </c>
      <c r="F8" s="11">
        <v>22000</v>
      </c>
    </row>
    <row r="9" spans="1:6" ht="15.75" x14ac:dyDescent="0.25">
      <c r="A9" s="8">
        <v>24839</v>
      </c>
      <c r="B9" s="8">
        <v>900623074</v>
      </c>
      <c r="C9" s="8" t="s">
        <v>38</v>
      </c>
      <c r="D9" s="9" t="s">
        <v>220</v>
      </c>
      <c r="E9" s="9" t="s">
        <v>221</v>
      </c>
      <c r="F9" s="11">
        <v>41079</v>
      </c>
    </row>
    <row r="10" spans="1:6" ht="15.75" x14ac:dyDescent="0.25">
      <c r="A10" s="8">
        <v>24844</v>
      </c>
      <c r="B10" s="8">
        <v>890932539</v>
      </c>
      <c r="C10" s="8" t="s">
        <v>12</v>
      </c>
      <c r="D10" s="9" t="s">
        <v>220</v>
      </c>
      <c r="E10" s="9" t="s">
        <v>221</v>
      </c>
      <c r="F10" s="11">
        <v>1144000</v>
      </c>
    </row>
    <row r="11" spans="1:6" ht="15.75" x14ac:dyDescent="0.25">
      <c r="A11" s="8">
        <v>24845</v>
      </c>
      <c r="B11" s="8">
        <v>901400246</v>
      </c>
      <c r="C11" s="8" t="s">
        <v>26</v>
      </c>
      <c r="D11" s="9" t="s">
        <v>220</v>
      </c>
      <c r="E11" s="9" t="s">
        <v>221</v>
      </c>
      <c r="F11" s="11">
        <v>51000</v>
      </c>
    </row>
    <row r="12" spans="1:6" ht="15.75" x14ac:dyDescent="0.25">
      <c r="A12" s="8">
        <v>24846</v>
      </c>
      <c r="B12" s="8">
        <v>800098726</v>
      </c>
      <c r="C12" s="8" t="s">
        <v>76</v>
      </c>
      <c r="D12" s="9" t="s">
        <v>220</v>
      </c>
      <c r="E12" s="9" t="s">
        <v>221</v>
      </c>
      <c r="F12" s="11">
        <v>109065</v>
      </c>
    </row>
    <row r="13" spans="1:6" ht="15.75" x14ac:dyDescent="0.25">
      <c r="A13" s="8">
        <v>24847</v>
      </c>
      <c r="B13" s="8">
        <v>900883396</v>
      </c>
      <c r="C13" s="8" t="s">
        <v>40</v>
      </c>
      <c r="D13" s="9" t="s">
        <v>220</v>
      </c>
      <c r="E13" s="9" t="s">
        <v>221</v>
      </c>
      <c r="F13" s="11">
        <v>5010</v>
      </c>
    </row>
    <row r="14" spans="1:6" ht="15.75" x14ac:dyDescent="0.25">
      <c r="A14" s="8">
        <v>24851</v>
      </c>
      <c r="B14" s="8">
        <v>890906388</v>
      </c>
      <c r="C14" s="8" t="s">
        <v>11</v>
      </c>
      <c r="D14" s="9" t="s">
        <v>220</v>
      </c>
      <c r="E14" s="9" t="s">
        <v>221</v>
      </c>
      <c r="F14" s="11">
        <v>1624000</v>
      </c>
    </row>
    <row r="15" spans="1:6" ht="15.75" x14ac:dyDescent="0.25">
      <c r="A15" s="8">
        <v>24852</v>
      </c>
      <c r="B15" s="8">
        <v>860040576</v>
      </c>
      <c r="C15" s="8" t="s">
        <v>27</v>
      </c>
      <c r="D15" s="9" t="s">
        <v>220</v>
      </c>
      <c r="E15" s="9" t="s">
        <v>221</v>
      </c>
      <c r="F15" s="11">
        <v>89000</v>
      </c>
    </row>
    <row r="16" spans="1:6" ht="15.75" x14ac:dyDescent="0.25">
      <c r="A16" s="8">
        <v>24856</v>
      </c>
      <c r="B16" s="8">
        <v>890909246</v>
      </c>
      <c r="C16" s="8" t="s">
        <v>68</v>
      </c>
      <c r="D16" s="9" t="s">
        <v>220</v>
      </c>
      <c r="E16" s="9" t="s">
        <v>221</v>
      </c>
      <c r="F16" s="11">
        <v>243320</v>
      </c>
    </row>
    <row r="17" spans="1:6" ht="15.75" x14ac:dyDescent="0.25">
      <c r="A17" s="8">
        <v>24858</v>
      </c>
      <c r="B17" s="8">
        <v>900239116</v>
      </c>
      <c r="C17" s="8" t="s">
        <v>20</v>
      </c>
      <c r="D17" s="9" t="s">
        <v>220</v>
      </c>
      <c r="E17" s="9" t="s">
        <v>221</v>
      </c>
      <c r="F17" s="11">
        <v>996676</v>
      </c>
    </row>
    <row r="18" spans="1:6" x14ac:dyDescent="0.25">
      <c r="A18" s="4">
        <v>24858</v>
      </c>
      <c r="B18" s="4">
        <v>900239116</v>
      </c>
      <c r="C18" s="4" t="s">
        <v>20</v>
      </c>
      <c r="D18" s="7"/>
      <c r="E18" s="7" t="s">
        <v>226</v>
      </c>
      <c r="F18" s="5">
        <v>-51030</v>
      </c>
    </row>
    <row r="19" spans="1:6" ht="15.75" x14ac:dyDescent="0.25">
      <c r="A19" s="8">
        <v>24859</v>
      </c>
      <c r="B19" s="8">
        <v>900084859</v>
      </c>
      <c r="C19" s="8" t="s">
        <v>41</v>
      </c>
      <c r="D19" s="9" t="s">
        <v>220</v>
      </c>
      <c r="E19" s="9" t="s">
        <v>221</v>
      </c>
      <c r="F19" s="11">
        <v>7000</v>
      </c>
    </row>
    <row r="20" spans="1:6" ht="15.75" x14ac:dyDescent="0.25">
      <c r="A20" s="8">
        <v>24860</v>
      </c>
      <c r="B20" s="8">
        <v>830002655</v>
      </c>
      <c r="C20" s="8" t="s">
        <v>58</v>
      </c>
      <c r="D20" s="9" t="s">
        <v>220</v>
      </c>
      <c r="E20" s="9" t="s">
        <v>221</v>
      </c>
      <c r="F20" s="11">
        <v>34000</v>
      </c>
    </row>
    <row r="21" spans="1:6" ht="15.75" x14ac:dyDescent="0.25">
      <c r="A21" s="8">
        <v>24862</v>
      </c>
      <c r="B21" s="8">
        <v>900557608</v>
      </c>
      <c r="C21" s="8" t="s">
        <v>13</v>
      </c>
      <c r="D21" s="9" t="s">
        <v>220</v>
      </c>
      <c r="E21" s="9" t="s">
        <v>221</v>
      </c>
      <c r="F21" s="11">
        <v>7400</v>
      </c>
    </row>
    <row r="22" spans="1:6" ht="15.75" x14ac:dyDescent="0.25">
      <c r="A22" s="8">
        <v>24863</v>
      </c>
      <c r="B22" s="8">
        <v>900155107</v>
      </c>
      <c r="C22" s="8" t="s">
        <v>21</v>
      </c>
      <c r="D22" s="9" t="s">
        <v>220</v>
      </c>
      <c r="E22" s="9" t="s">
        <v>221</v>
      </c>
      <c r="F22" s="11">
        <v>2502000</v>
      </c>
    </row>
    <row r="23" spans="1:6" ht="15.75" x14ac:dyDescent="0.25">
      <c r="A23" s="8">
        <v>24864</v>
      </c>
      <c r="B23" s="8">
        <v>901370476</v>
      </c>
      <c r="C23" s="8" t="s">
        <v>14</v>
      </c>
      <c r="D23" s="9" t="s">
        <v>220</v>
      </c>
      <c r="E23" s="9" t="s">
        <v>221</v>
      </c>
      <c r="F23" s="11">
        <v>2424071</v>
      </c>
    </row>
    <row r="24" spans="1:6" ht="15.75" x14ac:dyDescent="0.25">
      <c r="A24" s="8">
        <v>24866</v>
      </c>
      <c r="B24" s="8">
        <v>860007336</v>
      </c>
      <c r="C24" s="8" t="s">
        <v>31</v>
      </c>
      <c r="D24" s="9" t="s">
        <v>220</v>
      </c>
      <c r="E24" s="9" t="s">
        <v>221</v>
      </c>
      <c r="F24" s="11">
        <v>931000</v>
      </c>
    </row>
    <row r="25" spans="1:6" x14ac:dyDescent="0.25">
      <c r="A25" s="8">
        <v>24867</v>
      </c>
      <c r="B25" s="8">
        <v>900963711</v>
      </c>
      <c r="C25" s="8" t="s">
        <v>15</v>
      </c>
      <c r="D25" s="10" t="s">
        <v>222</v>
      </c>
      <c r="E25" s="10" t="s">
        <v>223</v>
      </c>
      <c r="F25" s="11">
        <v>262000</v>
      </c>
    </row>
    <row r="26" spans="1:6" ht="15.75" x14ac:dyDescent="0.25">
      <c r="A26" s="8">
        <v>24869</v>
      </c>
      <c r="B26" s="8">
        <v>811007506</v>
      </c>
      <c r="C26" s="8" t="s">
        <v>16</v>
      </c>
      <c r="D26" s="9" t="s">
        <v>220</v>
      </c>
      <c r="E26" s="9" t="s">
        <v>221</v>
      </c>
      <c r="F26" s="11">
        <v>609000</v>
      </c>
    </row>
    <row r="27" spans="1:6" ht="15.75" x14ac:dyDescent="0.25">
      <c r="A27" s="8">
        <v>24870</v>
      </c>
      <c r="B27" s="8">
        <v>900068426</v>
      </c>
      <c r="C27" s="8" t="s">
        <v>42</v>
      </c>
      <c r="D27" s="9" t="s">
        <v>220</v>
      </c>
      <c r="E27" s="9" t="s">
        <v>221</v>
      </c>
      <c r="F27" s="11">
        <v>356000</v>
      </c>
    </row>
    <row r="28" spans="1:6" ht="15.75" x14ac:dyDescent="0.25">
      <c r="A28" s="8">
        <v>24874</v>
      </c>
      <c r="B28" s="8">
        <v>811041448</v>
      </c>
      <c r="C28" s="8" t="s">
        <v>22</v>
      </c>
      <c r="D28" s="9" t="s">
        <v>220</v>
      </c>
      <c r="E28" s="9" t="s">
        <v>221</v>
      </c>
      <c r="F28" s="11">
        <v>1492595</v>
      </c>
    </row>
    <row r="29" spans="1:6" ht="15.75" x14ac:dyDescent="0.25">
      <c r="A29" s="8">
        <v>24876</v>
      </c>
      <c r="B29" s="8">
        <v>9005849763</v>
      </c>
      <c r="C29" s="8" t="s">
        <v>18</v>
      </c>
      <c r="D29" s="9" t="s">
        <v>220</v>
      </c>
      <c r="E29" s="9" t="s">
        <v>221</v>
      </c>
      <c r="F29" s="11">
        <v>47000</v>
      </c>
    </row>
    <row r="30" spans="1:6" ht="15.75" x14ac:dyDescent="0.25">
      <c r="A30" s="8">
        <v>24880</v>
      </c>
      <c r="B30" s="8">
        <v>800060276</v>
      </c>
      <c r="C30" s="8" t="s">
        <v>23</v>
      </c>
      <c r="D30" s="9" t="s">
        <v>220</v>
      </c>
      <c r="E30" s="9" t="s">
        <v>221</v>
      </c>
      <c r="F30" s="11">
        <v>774260</v>
      </c>
    </row>
    <row r="31" spans="1:6" ht="15.75" x14ac:dyDescent="0.25">
      <c r="A31" s="8">
        <v>24881</v>
      </c>
      <c r="B31" s="8">
        <v>900129117</v>
      </c>
      <c r="C31" s="8" t="s">
        <v>24</v>
      </c>
      <c r="D31" s="9" t="s">
        <v>220</v>
      </c>
      <c r="E31" s="9" t="s">
        <v>221</v>
      </c>
      <c r="F31" s="11">
        <v>1698000</v>
      </c>
    </row>
    <row r="32" spans="1:6" ht="15.75" x14ac:dyDescent="0.25">
      <c r="A32" s="8">
        <v>24884</v>
      </c>
      <c r="B32" s="8">
        <v>800137960</v>
      </c>
      <c r="C32" s="8" t="s">
        <v>56</v>
      </c>
      <c r="D32" s="9" t="s">
        <v>220</v>
      </c>
      <c r="E32" s="9" t="s">
        <v>221</v>
      </c>
      <c r="F32" s="11">
        <v>1104000</v>
      </c>
    </row>
    <row r="33" spans="1:6" ht="15.75" x14ac:dyDescent="0.25">
      <c r="A33" s="8">
        <v>24887</v>
      </c>
      <c r="B33" s="8">
        <v>901095278</v>
      </c>
      <c r="C33" s="8" t="s">
        <v>19</v>
      </c>
      <c r="D33" s="9" t="s">
        <v>220</v>
      </c>
      <c r="E33" s="9" t="s">
        <v>221</v>
      </c>
      <c r="F33" s="11">
        <v>31000</v>
      </c>
    </row>
    <row r="34" spans="1:6" ht="15.75" x14ac:dyDescent="0.25">
      <c r="A34" s="8">
        <v>24888</v>
      </c>
      <c r="B34" s="8">
        <v>811022796</v>
      </c>
      <c r="C34" s="8" t="s">
        <v>25</v>
      </c>
      <c r="D34" s="9" t="s">
        <v>220</v>
      </c>
      <c r="E34" s="9" t="s">
        <v>221</v>
      </c>
      <c r="F34" s="11">
        <v>46000</v>
      </c>
    </row>
    <row r="35" spans="1:6" ht="15.75" x14ac:dyDescent="0.25">
      <c r="A35" s="8">
        <v>24890</v>
      </c>
      <c r="B35" s="8">
        <v>811029147</v>
      </c>
      <c r="C35" s="8" t="s">
        <v>28</v>
      </c>
      <c r="D35" s="9" t="s">
        <v>220</v>
      </c>
      <c r="E35" s="9" t="s">
        <v>221</v>
      </c>
      <c r="F35" s="11">
        <v>457000</v>
      </c>
    </row>
    <row r="36" spans="1:6" ht="15.75" x14ac:dyDescent="0.25">
      <c r="A36" s="8">
        <v>24891</v>
      </c>
      <c r="B36" s="8">
        <v>900816838</v>
      </c>
      <c r="C36" s="8" t="s">
        <v>48</v>
      </c>
      <c r="D36" s="9" t="s">
        <v>220</v>
      </c>
      <c r="E36" s="9" t="s">
        <v>221</v>
      </c>
      <c r="F36" s="11">
        <v>709000</v>
      </c>
    </row>
    <row r="37" spans="1:6" ht="15.75" x14ac:dyDescent="0.25">
      <c r="A37" s="8">
        <v>24894</v>
      </c>
      <c r="B37" s="8">
        <v>901250356</v>
      </c>
      <c r="C37" s="8" t="s">
        <v>29</v>
      </c>
      <c r="D37" s="9" t="s">
        <v>220</v>
      </c>
      <c r="E37" s="9" t="s">
        <v>221</v>
      </c>
      <c r="F37" s="11">
        <v>137086</v>
      </c>
    </row>
    <row r="38" spans="1:6" ht="15.75" x14ac:dyDescent="0.25">
      <c r="A38" s="8">
        <v>24896</v>
      </c>
      <c r="B38" s="8">
        <v>811015158</v>
      </c>
      <c r="C38" s="8" t="s">
        <v>32</v>
      </c>
      <c r="D38" s="9" t="s">
        <v>220</v>
      </c>
      <c r="E38" s="9" t="s">
        <v>221</v>
      </c>
      <c r="F38" s="11">
        <v>267026</v>
      </c>
    </row>
    <row r="39" spans="1:6" ht="15.75" x14ac:dyDescent="0.25">
      <c r="A39" s="8">
        <v>24902</v>
      </c>
      <c r="B39" s="8">
        <v>890901176</v>
      </c>
      <c r="C39" s="8" t="s">
        <v>43</v>
      </c>
      <c r="D39" s="9" t="s">
        <v>220</v>
      </c>
      <c r="E39" s="9" t="s">
        <v>221</v>
      </c>
      <c r="F39" s="11">
        <v>167520</v>
      </c>
    </row>
    <row r="40" spans="1:6" ht="15.75" x14ac:dyDescent="0.25">
      <c r="A40" s="8">
        <v>24904</v>
      </c>
      <c r="B40" s="8">
        <v>800020706</v>
      </c>
      <c r="C40" s="8" t="s">
        <v>49</v>
      </c>
      <c r="D40" s="9" t="s">
        <v>220</v>
      </c>
      <c r="E40" s="9" t="s">
        <v>221</v>
      </c>
      <c r="F40" s="11">
        <v>291000</v>
      </c>
    </row>
    <row r="41" spans="1:6" ht="15.75" x14ac:dyDescent="0.25">
      <c r="A41" s="8">
        <v>24906</v>
      </c>
      <c r="B41" s="8">
        <v>800204737</v>
      </c>
      <c r="C41" s="8" t="s">
        <v>34</v>
      </c>
      <c r="D41" s="9" t="s">
        <v>220</v>
      </c>
      <c r="E41" s="9" t="s">
        <v>221</v>
      </c>
      <c r="F41" s="11">
        <v>452042</v>
      </c>
    </row>
    <row r="42" spans="1:6" ht="15.75" x14ac:dyDescent="0.25">
      <c r="A42" s="8">
        <v>24908</v>
      </c>
      <c r="B42" s="8">
        <v>900673166</v>
      </c>
      <c r="C42" s="8" t="s">
        <v>36</v>
      </c>
      <c r="D42" s="9" t="s">
        <v>220</v>
      </c>
      <c r="E42" s="9" t="s">
        <v>221</v>
      </c>
      <c r="F42" s="11">
        <v>108441</v>
      </c>
    </row>
    <row r="43" spans="1:6" ht="15.75" x14ac:dyDescent="0.25">
      <c r="A43" s="8">
        <v>24910</v>
      </c>
      <c r="B43" s="8">
        <v>800197456</v>
      </c>
      <c r="C43" s="8" t="s">
        <v>44</v>
      </c>
      <c r="D43" s="9" t="s">
        <v>220</v>
      </c>
      <c r="E43" s="9" t="s">
        <v>221</v>
      </c>
      <c r="F43" s="11">
        <v>92000</v>
      </c>
    </row>
    <row r="44" spans="1:6" ht="15.75" x14ac:dyDescent="0.25">
      <c r="A44" s="8">
        <v>24917</v>
      </c>
      <c r="B44" s="8">
        <v>900462716</v>
      </c>
      <c r="C44" s="8" t="s">
        <v>37</v>
      </c>
      <c r="D44" s="9" t="s">
        <v>220</v>
      </c>
      <c r="E44" s="9" t="s">
        <v>221</v>
      </c>
      <c r="F44" s="11">
        <v>183720</v>
      </c>
    </row>
    <row r="45" spans="1:6" ht="15.75" x14ac:dyDescent="0.25">
      <c r="A45" s="8">
        <v>24918</v>
      </c>
      <c r="B45" s="8">
        <v>901540916</v>
      </c>
      <c r="C45" s="8" t="s">
        <v>59</v>
      </c>
      <c r="D45" s="9" t="s">
        <v>220</v>
      </c>
      <c r="E45" s="9" t="s">
        <v>221</v>
      </c>
      <c r="F45" s="11">
        <v>385000</v>
      </c>
    </row>
    <row r="46" spans="1:6" ht="15.75" x14ac:dyDescent="0.25">
      <c r="A46" s="8">
        <v>24922</v>
      </c>
      <c r="B46" s="8">
        <v>811031936</v>
      </c>
      <c r="C46" s="8" t="s">
        <v>71</v>
      </c>
      <c r="D46" s="9" t="s">
        <v>220</v>
      </c>
      <c r="E46" s="9" t="s">
        <v>221</v>
      </c>
      <c r="F46" s="11">
        <v>418565</v>
      </c>
    </row>
    <row r="47" spans="1:6" ht="15.75" x14ac:dyDescent="0.25">
      <c r="A47" s="8">
        <v>24925</v>
      </c>
      <c r="B47" s="8">
        <v>800130047</v>
      </c>
      <c r="C47" s="8" t="s">
        <v>46</v>
      </c>
      <c r="D47" s="9" t="s">
        <v>220</v>
      </c>
      <c r="E47" s="9" t="s">
        <v>221</v>
      </c>
      <c r="F47" s="11">
        <v>160000</v>
      </c>
    </row>
    <row r="48" spans="1:6" ht="15.75" x14ac:dyDescent="0.25">
      <c r="A48" s="8">
        <v>24926</v>
      </c>
      <c r="B48" s="8">
        <v>900291526</v>
      </c>
      <c r="C48" s="8" t="s">
        <v>47</v>
      </c>
      <c r="D48" s="9" t="s">
        <v>220</v>
      </c>
      <c r="E48" s="9" t="s">
        <v>221</v>
      </c>
      <c r="F48" s="11">
        <v>224000</v>
      </c>
    </row>
    <row r="49" spans="1:6" ht="15.75" x14ac:dyDescent="0.25">
      <c r="A49" s="8">
        <v>24930</v>
      </c>
      <c r="B49" s="8">
        <v>800242427</v>
      </c>
      <c r="C49" s="8" t="s">
        <v>70</v>
      </c>
      <c r="D49" s="9" t="s">
        <v>220</v>
      </c>
      <c r="E49" s="9" t="s">
        <v>221</v>
      </c>
      <c r="F49" s="11">
        <v>131000</v>
      </c>
    </row>
    <row r="50" spans="1:6" ht="15.75" x14ac:dyDescent="0.25">
      <c r="A50" s="8">
        <v>24934</v>
      </c>
      <c r="B50" s="8">
        <v>900303337</v>
      </c>
      <c r="C50" s="8" t="s">
        <v>52</v>
      </c>
      <c r="D50" s="9" t="s">
        <v>220</v>
      </c>
      <c r="E50" s="9" t="s">
        <v>221</v>
      </c>
      <c r="F50" s="11">
        <v>48384</v>
      </c>
    </row>
    <row r="51" spans="1:6" ht="15.75" x14ac:dyDescent="0.25">
      <c r="A51" s="8">
        <v>24935</v>
      </c>
      <c r="B51" s="8">
        <v>900642557</v>
      </c>
      <c r="C51" s="8" t="s">
        <v>55</v>
      </c>
      <c r="D51" s="9" t="s">
        <v>220</v>
      </c>
      <c r="E51" s="9" t="s">
        <v>221</v>
      </c>
      <c r="F51" s="11">
        <v>7181208</v>
      </c>
    </row>
    <row r="52" spans="1:6" x14ac:dyDescent="0.25">
      <c r="A52" s="4">
        <v>24935</v>
      </c>
      <c r="B52" s="4">
        <v>900642557</v>
      </c>
      <c r="C52" s="4" t="s">
        <v>55</v>
      </c>
      <c r="D52" s="7"/>
      <c r="E52" s="7" t="s">
        <v>226</v>
      </c>
      <c r="F52" s="5">
        <v>-45430</v>
      </c>
    </row>
    <row r="53" spans="1:6" ht="15.75" x14ac:dyDescent="0.25">
      <c r="A53" s="8">
        <v>24936</v>
      </c>
      <c r="B53" s="8">
        <v>900195166</v>
      </c>
      <c r="C53" s="8" t="s">
        <v>45</v>
      </c>
      <c r="D53" s="9" t="s">
        <v>220</v>
      </c>
      <c r="E53" s="9" t="s">
        <v>221</v>
      </c>
      <c r="F53" s="11">
        <v>6555496</v>
      </c>
    </row>
    <row r="54" spans="1:6" ht="15.75" x14ac:dyDescent="0.25">
      <c r="A54" s="8">
        <v>24938</v>
      </c>
      <c r="B54" s="8">
        <v>860000656</v>
      </c>
      <c r="C54" s="8" t="s">
        <v>50</v>
      </c>
      <c r="D54" s="9" t="s">
        <v>220</v>
      </c>
      <c r="E54" s="9" t="s">
        <v>221</v>
      </c>
      <c r="F54" s="11">
        <v>101000</v>
      </c>
    </row>
    <row r="55" spans="1:6" ht="15.75" x14ac:dyDescent="0.25">
      <c r="A55" s="8">
        <v>24939</v>
      </c>
      <c r="B55" s="8">
        <v>890500726</v>
      </c>
      <c r="C55" s="8" t="s">
        <v>51</v>
      </c>
      <c r="D55" s="9" t="s">
        <v>220</v>
      </c>
      <c r="E55" s="9" t="s">
        <v>221</v>
      </c>
      <c r="F55" s="11">
        <v>68000</v>
      </c>
    </row>
    <row r="56" spans="1:6" ht="15.75" x14ac:dyDescent="0.25">
      <c r="A56" s="8">
        <v>24941</v>
      </c>
      <c r="B56" s="8">
        <v>890902916</v>
      </c>
      <c r="C56" s="8" t="s">
        <v>75</v>
      </c>
      <c r="D56" s="9" t="s">
        <v>220</v>
      </c>
      <c r="E56" s="9" t="s">
        <v>221</v>
      </c>
      <c r="F56" s="11">
        <v>2293000</v>
      </c>
    </row>
    <row r="57" spans="1:6" ht="15.75" x14ac:dyDescent="0.25">
      <c r="A57" s="8">
        <v>24948</v>
      </c>
      <c r="B57" s="8">
        <v>901580486</v>
      </c>
      <c r="C57" s="8" t="s">
        <v>53</v>
      </c>
      <c r="D57" s="9" t="s">
        <v>220</v>
      </c>
      <c r="E57" s="9" t="s">
        <v>221</v>
      </c>
      <c r="F57" s="11">
        <v>9711000</v>
      </c>
    </row>
    <row r="58" spans="1:6" ht="15.75" x14ac:dyDescent="0.25">
      <c r="A58" s="8">
        <v>24951</v>
      </c>
      <c r="B58" s="8">
        <v>891700037</v>
      </c>
      <c r="C58" s="8" t="s">
        <v>54</v>
      </c>
      <c r="D58" s="9" t="s">
        <v>220</v>
      </c>
      <c r="E58" s="9" t="s">
        <v>221</v>
      </c>
      <c r="F58" s="11">
        <v>1083000</v>
      </c>
    </row>
    <row r="59" spans="1:6" ht="15.75" x14ac:dyDescent="0.25">
      <c r="A59" s="8">
        <v>24952</v>
      </c>
      <c r="B59" s="8">
        <v>860035827</v>
      </c>
      <c r="C59" s="8" t="s">
        <v>65</v>
      </c>
      <c r="D59" s="9" t="s">
        <v>220</v>
      </c>
      <c r="E59" s="9" t="s">
        <v>221</v>
      </c>
      <c r="F59" s="11">
        <v>430000</v>
      </c>
    </row>
    <row r="60" spans="1:6" ht="15.75" x14ac:dyDescent="0.25">
      <c r="A60" s="8">
        <v>24954</v>
      </c>
      <c r="B60" s="8">
        <v>900784477</v>
      </c>
      <c r="C60" s="8" t="s">
        <v>57</v>
      </c>
      <c r="D60" s="9" t="s">
        <v>220</v>
      </c>
      <c r="E60" s="9" t="s">
        <v>221</v>
      </c>
      <c r="F60" s="11">
        <v>48000</v>
      </c>
    </row>
    <row r="61" spans="1:6" ht="15.75" x14ac:dyDescent="0.25">
      <c r="A61" s="8">
        <v>24955</v>
      </c>
      <c r="B61" s="8">
        <v>890900016</v>
      </c>
      <c r="C61" s="8" t="s">
        <v>60</v>
      </c>
      <c r="D61" s="9" t="s">
        <v>220</v>
      </c>
      <c r="E61" s="9" t="s">
        <v>221</v>
      </c>
      <c r="F61" s="11">
        <v>15000</v>
      </c>
    </row>
    <row r="62" spans="1:6" ht="15.75" x14ac:dyDescent="0.25">
      <c r="A62" s="8">
        <v>24956</v>
      </c>
      <c r="B62" s="8">
        <v>900791257</v>
      </c>
      <c r="C62" s="8" t="s">
        <v>61</v>
      </c>
      <c r="D62" s="9" t="s">
        <v>220</v>
      </c>
      <c r="E62" s="9" t="s">
        <v>221</v>
      </c>
      <c r="F62" s="11">
        <v>14240</v>
      </c>
    </row>
    <row r="63" spans="1:6" ht="15.75" x14ac:dyDescent="0.25">
      <c r="A63" s="8">
        <v>24957</v>
      </c>
      <c r="B63" s="8">
        <v>900315057</v>
      </c>
      <c r="C63" s="8" t="s">
        <v>62</v>
      </c>
      <c r="D63" s="9" t="s">
        <v>220</v>
      </c>
      <c r="E63" s="9" t="s">
        <v>221</v>
      </c>
      <c r="F63" s="11">
        <v>4838929</v>
      </c>
    </row>
    <row r="64" spans="1:6" ht="15.75" x14ac:dyDescent="0.25">
      <c r="A64" s="8">
        <v>24958</v>
      </c>
      <c r="B64" s="8">
        <v>890926803</v>
      </c>
      <c r="C64" s="8" t="s">
        <v>66</v>
      </c>
      <c r="D64" s="9" t="s">
        <v>220</v>
      </c>
      <c r="E64" s="9" t="s">
        <v>221</v>
      </c>
      <c r="F64" s="11">
        <v>45000</v>
      </c>
    </row>
    <row r="65" spans="1:6" x14ac:dyDescent="0.25">
      <c r="A65" s="8">
        <v>24958</v>
      </c>
      <c r="B65" s="8">
        <v>890926803</v>
      </c>
      <c r="C65" s="8" t="s">
        <v>66</v>
      </c>
      <c r="D65" s="10" t="s">
        <v>222</v>
      </c>
      <c r="E65" s="10" t="s">
        <v>223</v>
      </c>
      <c r="F65" s="11">
        <v>263000</v>
      </c>
    </row>
    <row r="66" spans="1:6" x14ac:dyDescent="0.25">
      <c r="A66" s="8">
        <v>24958</v>
      </c>
      <c r="B66" s="8">
        <v>890926803</v>
      </c>
      <c r="C66" s="8" t="s">
        <v>66</v>
      </c>
      <c r="D66" s="10" t="s">
        <v>224</v>
      </c>
      <c r="E66" s="10" t="s">
        <v>225</v>
      </c>
      <c r="F66" s="11">
        <v>2000</v>
      </c>
    </row>
    <row r="67" spans="1:6" ht="15.75" x14ac:dyDescent="0.25">
      <c r="A67" s="8">
        <v>24959</v>
      </c>
      <c r="B67" s="8">
        <v>901675630</v>
      </c>
      <c r="C67" s="8" t="s">
        <v>72</v>
      </c>
      <c r="D67" s="9" t="s">
        <v>220</v>
      </c>
      <c r="E67" s="9" t="s">
        <v>221</v>
      </c>
      <c r="F67" s="11">
        <v>1154534</v>
      </c>
    </row>
    <row r="68" spans="1:6" ht="15.75" x14ac:dyDescent="0.25">
      <c r="A68" s="8">
        <v>24960</v>
      </c>
      <c r="B68" s="8">
        <v>900763226</v>
      </c>
      <c r="C68" s="8" t="s">
        <v>73</v>
      </c>
      <c r="D68" s="9" t="s">
        <v>220</v>
      </c>
      <c r="E68" s="9" t="s">
        <v>221</v>
      </c>
      <c r="F68" s="11">
        <v>149000</v>
      </c>
    </row>
    <row r="69" spans="1:6" ht="15.75" x14ac:dyDescent="0.25">
      <c r="A69" s="8">
        <v>24962</v>
      </c>
      <c r="B69" s="8">
        <v>830033206</v>
      </c>
      <c r="C69" s="8" t="s">
        <v>63</v>
      </c>
      <c r="D69" s="9" t="s">
        <v>220</v>
      </c>
      <c r="E69" s="9" t="s">
        <v>221</v>
      </c>
      <c r="F69" s="11">
        <v>4000</v>
      </c>
    </row>
    <row r="70" spans="1:6" ht="15.75" x14ac:dyDescent="0.25">
      <c r="A70" s="8">
        <v>24963</v>
      </c>
      <c r="B70" s="8">
        <v>900342297</v>
      </c>
      <c r="C70" s="8" t="s">
        <v>64</v>
      </c>
      <c r="D70" s="9" t="s">
        <v>220</v>
      </c>
      <c r="E70" s="9" t="s">
        <v>221</v>
      </c>
      <c r="F70" s="11">
        <v>35000</v>
      </c>
    </row>
    <row r="71" spans="1:6" ht="15.75" x14ac:dyDescent="0.25">
      <c r="A71" s="8">
        <v>24964</v>
      </c>
      <c r="B71" s="8">
        <v>830054076</v>
      </c>
      <c r="C71" s="8" t="s">
        <v>67</v>
      </c>
      <c r="D71" s="9" t="s">
        <v>220</v>
      </c>
      <c r="E71" s="9" t="s">
        <v>221</v>
      </c>
      <c r="F71" s="11">
        <v>2857000</v>
      </c>
    </row>
    <row r="72" spans="1:6" ht="15.75" x14ac:dyDescent="0.25">
      <c r="A72" s="8">
        <v>24971</v>
      </c>
      <c r="B72" s="8">
        <v>890918866</v>
      </c>
      <c r="C72" s="8" t="s">
        <v>69</v>
      </c>
      <c r="D72" s="9" t="s">
        <v>220</v>
      </c>
      <c r="E72" s="9" t="s">
        <v>221</v>
      </c>
      <c r="F72" s="11">
        <v>48000</v>
      </c>
    </row>
    <row r="73" spans="1:6" ht="15.75" x14ac:dyDescent="0.25">
      <c r="A73" s="8">
        <v>24975</v>
      </c>
      <c r="B73" s="8">
        <v>830122566</v>
      </c>
      <c r="C73" s="8" t="s">
        <v>74</v>
      </c>
      <c r="D73" s="9" t="s">
        <v>220</v>
      </c>
      <c r="E73" s="9" t="s">
        <v>221</v>
      </c>
      <c r="F73" s="11">
        <v>2975000</v>
      </c>
    </row>
  </sheetData>
  <autoFilter ref="A1:F69" xr:uid="{905EC5A6-B828-4C30-96EB-0C459A96A5C2}">
    <sortState xmlns:xlrd2="http://schemas.microsoft.com/office/spreadsheetml/2017/richdata2" ref="A2:F73">
      <sortCondition ref="A1:A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ALEXANDER FILOS SALAZAR</cp:lastModifiedBy>
  <dcterms:created xsi:type="dcterms:W3CDTF">2026-03-18T13:54:06Z</dcterms:created>
  <dcterms:modified xsi:type="dcterms:W3CDTF">2026-03-18T14:03:46Z</dcterms:modified>
</cp:coreProperties>
</file>